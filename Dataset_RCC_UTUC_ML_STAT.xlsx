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ผู้ช่วยวิจัย2\โครงการ FF\NLR\dataset\"/>
    </mc:Choice>
  </mc:AlternateContent>
  <xr:revisionPtr revIDLastSave="0" documentId="13_ncr:1_{5FB93CFB-BA02-45EB-AE06-A24458587ED0}" xr6:coauthVersionLast="47" xr6:coauthVersionMax="47" xr10:uidLastSave="{00000000-0000-0000-0000-000000000000}"/>
  <bookViews>
    <workbookView xWindow="-108" yWindow="-108" windowWidth="23256" windowHeight="12456" xr2:uid="{712AAD3A-2929-4043-AAB4-6A2B92981A10}"/>
  </bookViews>
  <sheets>
    <sheet name="case" sheetId="2" r:id="rId1"/>
    <sheet name="Sheet" sheetId="4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2" l="1"/>
  <c r="F30" i="2"/>
  <c r="H3" i="2" l="1" a="1"/>
  <c r="H3" i="2"/>
  <c r="H4" i="2" a="1"/>
  <c r="H4" i="2"/>
  <c r="H5" i="2" a="1"/>
  <c r="H5" i="2" s="1"/>
  <c r="H6" i="2" a="1"/>
  <c r="H6" i="2"/>
  <c r="H7" i="2" a="1"/>
  <c r="H7" i="2"/>
  <c r="H8" i="2" a="1"/>
  <c r="H8" i="2"/>
  <c r="H9" i="2" a="1"/>
  <c r="H9" i="2"/>
  <c r="H10" i="2" a="1"/>
  <c r="H10" i="2"/>
  <c r="H11" i="2" a="1"/>
  <c r="H11" i="2" s="1"/>
  <c r="H12" i="2" a="1"/>
  <c r="H12" i="2" s="1"/>
  <c r="H13" i="2" a="1"/>
  <c r="H13" i="2"/>
  <c r="H14" i="2" a="1"/>
  <c r="H14" i="2"/>
  <c r="H15" i="2" a="1"/>
  <c r="H15" i="2"/>
  <c r="H16" i="2" a="1"/>
  <c r="H16" i="2"/>
  <c r="H17" i="2" a="1"/>
  <c r="H17" i="2" s="1"/>
  <c r="H18" i="2" a="1"/>
  <c r="H18" i="2" s="1"/>
  <c r="H19" i="2" a="1"/>
  <c r="H19" i="2"/>
  <c r="H20" i="2" a="1"/>
  <c r="H20" i="2"/>
  <c r="H21" i="2" a="1"/>
  <c r="H21" i="2"/>
  <c r="H22" i="2" a="1"/>
  <c r="H22" i="2"/>
  <c r="H23" i="2" a="1"/>
  <c r="H23" i="2" s="1"/>
  <c r="H24" i="2" a="1"/>
  <c r="H24" i="2" s="1"/>
  <c r="H25" i="2" a="1"/>
  <c r="H25" i="2"/>
  <c r="H26" i="2" a="1"/>
  <c r="H26" i="2"/>
  <c r="H27" i="2" a="1"/>
  <c r="H27" i="2"/>
  <c r="H28" i="2" a="1"/>
  <c r="H28" i="2"/>
  <c r="H29" i="2" a="1"/>
  <c r="H29" i="2" s="1"/>
  <c r="H31" i="2" a="1"/>
  <c r="H31" i="2"/>
  <c r="H32" i="2" a="1"/>
  <c r="H32" i="2"/>
  <c r="H33" i="2" a="1"/>
  <c r="H33" i="2"/>
  <c r="H34" i="2" a="1"/>
  <c r="H34" i="2"/>
  <c r="H35" i="2" a="1"/>
  <c r="H35" i="2" s="1"/>
  <c r="H36" i="2" a="1"/>
  <c r="H36" i="2" s="1"/>
  <c r="H37" i="2" a="1"/>
  <c r="H37" i="2"/>
  <c r="H38" i="2" a="1"/>
  <c r="H38" i="2"/>
  <c r="H39" i="2" a="1"/>
  <c r="H39" i="2"/>
  <c r="H40" i="2" a="1"/>
  <c r="H40" i="2"/>
  <c r="H41" i="2" a="1"/>
  <c r="H41" i="2" s="1"/>
  <c r="H42" i="2" a="1"/>
  <c r="H42" i="2" s="1"/>
  <c r="H43" i="2" a="1"/>
  <c r="H43" i="2"/>
  <c r="H44" i="2" a="1"/>
  <c r="H44" i="2"/>
  <c r="H45" i="2" a="1"/>
  <c r="H45" i="2"/>
  <c r="H46" i="2" a="1"/>
  <c r="H46" i="2"/>
  <c r="H47" i="2" a="1"/>
  <c r="H47" i="2" s="1"/>
  <c r="H48" i="2" a="1"/>
  <c r="H48" i="2" s="1"/>
  <c r="H49" i="2" a="1"/>
  <c r="H49" i="2"/>
  <c r="H50" i="2" a="1"/>
  <c r="H50" i="2"/>
  <c r="H51" i="2" a="1"/>
  <c r="H51" i="2"/>
  <c r="H52" i="2" a="1"/>
  <c r="H52" i="2"/>
  <c r="H53" i="2" a="1"/>
  <c r="H53" i="2" s="1"/>
  <c r="H54" i="2" a="1"/>
  <c r="H54" i="2" s="1"/>
  <c r="H55" i="2" a="1"/>
  <c r="H55" i="2"/>
  <c r="H56" i="2" a="1"/>
  <c r="H56" i="2"/>
  <c r="H57" i="2" a="1"/>
  <c r="H57" i="2"/>
  <c r="H58" i="2" a="1"/>
  <c r="H58" i="2"/>
  <c r="H59" i="2" a="1"/>
  <c r="H59" i="2" s="1"/>
  <c r="H60" i="2" a="1"/>
  <c r="H60" i="2" s="1"/>
  <c r="H61" i="2" a="1"/>
  <c r="H61" i="2"/>
  <c r="H62" i="2" a="1"/>
  <c r="H62" i="2"/>
  <c r="H63" i="2" a="1"/>
  <c r="H63" i="2"/>
  <c r="H64" i="2" a="1"/>
  <c r="H64" i="2"/>
  <c r="H65" i="2" a="1"/>
  <c r="H65" i="2" s="1"/>
  <c r="H66" i="2" a="1"/>
  <c r="H66" i="2" s="1"/>
  <c r="H67" i="2" a="1"/>
  <c r="H67" i="2"/>
  <c r="H68" i="2" a="1"/>
  <c r="H68" i="2"/>
  <c r="H69" i="2" a="1"/>
  <c r="H69" i="2"/>
  <c r="H70" i="2" a="1"/>
  <c r="H70" i="2"/>
  <c r="H71" i="2" a="1"/>
  <c r="H71" i="2" s="1"/>
  <c r="H72" i="2" a="1"/>
  <c r="H72" i="2" s="1"/>
  <c r="H73" i="2" a="1"/>
  <c r="H73" i="2"/>
  <c r="H74" i="2" a="1"/>
  <c r="H74" i="2"/>
  <c r="H75" i="2" a="1"/>
  <c r="H75" i="2"/>
  <c r="H76" i="2" a="1"/>
  <c r="H76" i="2"/>
  <c r="H77" i="2" a="1"/>
  <c r="H77" i="2" s="1"/>
  <c r="H78" i="2" a="1"/>
  <c r="H78" i="2" s="1"/>
  <c r="H79" i="2" a="1"/>
  <c r="H79" i="2"/>
  <c r="H80" i="2" a="1"/>
  <c r="H80" i="2"/>
  <c r="H81" i="2" a="1"/>
  <c r="H81" i="2"/>
  <c r="H82" i="2" a="1"/>
  <c r="H82" i="2"/>
  <c r="H83" i="2" a="1"/>
  <c r="H83" i="2" s="1"/>
  <c r="H84" i="2" a="1"/>
  <c r="H84" i="2" s="1"/>
  <c r="H85" i="2" a="1"/>
  <c r="H85" i="2"/>
  <c r="H86" i="2" a="1"/>
  <c r="H86" i="2"/>
  <c r="H87" i="2" a="1"/>
  <c r="H87" i="2"/>
  <c r="H88" i="2" a="1"/>
  <c r="H88" i="2"/>
  <c r="H89" i="2" a="1"/>
  <c r="H89" i="2" s="1"/>
  <c r="H90" i="2" a="1"/>
  <c r="H90" i="2" s="1"/>
  <c r="H91" i="2" a="1"/>
  <c r="H91" i="2"/>
  <c r="H92" i="2" a="1"/>
  <c r="H92" i="2"/>
  <c r="H93" i="2" a="1"/>
  <c r="H93" i="2"/>
  <c r="H94" i="2" a="1"/>
  <c r="H94" i="2"/>
  <c r="H95" i="2" a="1"/>
  <c r="H95" i="2" s="1"/>
  <c r="H96" i="2" a="1"/>
  <c r="H96" i="2" s="1"/>
  <c r="H97" i="2" a="1"/>
  <c r="H97" i="2"/>
  <c r="H98" i="2" a="1"/>
  <c r="H98" i="2"/>
  <c r="H99" i="2" a="1"/>
  <c r="H99" i="2"/>
  <c r="H100" i="2" a="1"/>
  <c r="H100" i="2"/>
  <c r="H101" i="2" a="1"/>
  <c r="H101" i="2" s="1"/>
  <c r="H102" i="2" a="1"/>
  <c r="H102" i="2" s="1"/>
  <c r="H103" i="2" a="1"/>
  <c r="H103" i="2"/>
  <c r="H104" i="2" a="1"/>
  <c r="H104" i="2"/>
  <c r="H105" i="2" a="1"/>
  <c r="H105" i="2"/>
  <c r="H106" i="2" a="1"/>
  <c r="H106" i="2"/>
  <c r="H107" i="2" a="1"/>
  <c r="H107" i="2" s="1"/>
  <c r="H108" i="2" a="1"/>
  <c r="H108" i="2" s="1"/>
  <c r="H109" i="2" a="1"/>
  <c r="H109" i="2"/>
  <c r="H110" i="2" a="1"/>
  <c r="H110" i="2"/>
  <c r="H111" i="2" a="1"/>
  <c r="H111" i="2" s="1"/>
  <c r="H112" i="2" a="1"/>
  <c r="H112" i="2"/>
  <c r="H113" i="2" a="1"/>
  <c r="H113" i="2" s="1"/>
  <c r="H114" i="2" a="1"/>
  <c r="H114" i="2" s="1"/>
  <c r="H115" i="2" a="1"/>
  <c r="H115" i="2"/>
  <c r="H116" i="2" a="1"/>
  <c r="H116" i="2"/>
  <c r="H117" i="2" a="1"/>
  <c r="H117" i="2" s="1"/>
  <c r="H118" i="2" a="1"/>
  <c r="H118" i="2"/>
  <c r="H119" i="2" a="1"/>
  <c r="H119" i="2" s="1"/>
  <c r="H120" i="2" a="1"/>
  <c r="H120" i="2" s="1"/>
  <c r="H121" i="2" a="1"/>
  <c r="H121" i="2"/>
  <c r="H122" i="2" a="1"/>
  <c r="H122" i="2"/>
  <c r="H123" i="2" a="1"/>
  <c r="H123" i="2" s="1"/>
  <c r="H124" i="2" a="1"/>
  <c r="H124" i="2"/>
  <c r="H125" i="2" a="1"/>
  <c r="H125" i="2" s="1"/>
  <c r="H126" i="2" a="1"/>
  <c r="H126" i="2" s="1"/>
  <c r="H127" i="2" a="1"/>
  <c r="H127" i="2"/>
  <c r="H128" i="2" a="1"/>
  <c r="H128" i="2"/>
  <c r="H129" i="2" a="1"/>
  <c r="H129" i="2" s="1"/>
  <c r="H130" i="2" a="1"/>
  <c r="H130" i="2"/>
  <c r="H131" i="2" a="1"/>
  <c r="H131" i="2" s="1"/>
  <c r="H132" i="2" a="1"/>
  <c r="H132" i="2" s="1"/>
  <c r="H133" i="2" a="1"/>
  <c r="H133" i="2"/>
  <c r="H134" i="2" a="1"/>
  <c r="H134" i="2"/>
  <c r="H135" i="2" a="1"/>
  <c r="H135" i="2" s="1"/>
  <c r="H136" i="2" a="1"/>
  <c r="H136" i="2"/>
  <c r="H137" i="2" a="1"/>
  <c r="H137" i="2" s="1"/>
  <c r="H138" i="2" a="1"/>
  <c r="H138" i="2" s="1"/>
  <c r="H139" i="2" a="1"/>
  <c r="H139" i="2"/>
  <c r="H140" i="2" a="1"/>
  <c r="H140" i="2"/>
  <c r="H141" i="2" a="1"/>
  <c r="H141" i="2" s="1"/>
  <c r="H142" i="2" a="1"/>
  <c r="H142" i="2"/>
  <c r="H143" i="2" a="1"/>
  <c r="H143" i="2" s="1"/>
  <c r="H144" i="2" a="1"/>
  <c r="H144" i="2" s="1"/>
  <c r="H145" i="2" a="1"/>
  <c r="H145" i="2"/>
  <c r="H146" i="2" a="1"/>
  <c r="H146" i="2" s="1"/>
  <c r="H147" i="2" a="1"/>
  <c r="H147" i="2" s="1"/>
  <c r="H148" i="2" a="1"/>
  <c r="H148" i="2"/>
  <c r="H149" i="2" a="1"/>
  <c r="H149" i="2" s="1"/>
  <c r="H150" i="2" a="1"/>
  <c r="H150" i="2" s="1"/>
  <c r="H151" i="2" a="1"/>
  <c r="H151" i="2"/>
  <c r="H152" i="2" a="1"/>
  <c r="H152" i="2"/>
  <c r="H153" i="2" a="1"/>
  <c r="H153" i="2" s="1"/>
  <c r="H154" i="2" a="1"/>
  <c r="H154" i="2"/>
  <c r="H155" i="2" a="1"/>
  <c r="H155" i="2" s="1"/>
  <c r="H156" i="2" a="1"/>
  <c r="H156" i="2" s="1"/>
  <c r="H157" i="2" a="1"/>
  <c r="H157" i="2"/>
  <c r="H158" i="2" a="1"/>
  <c r="H158" i="2"/>
  <c r="H159" i="2" a="1"/>
  <c r="H159" i="2" s="1"/>
  <c r="H160" i="2" a="1"/>
  <c r="H160" i="2"/>
  <c r="H161" i="2" a="1"/>
  <c r="H161" i="2" s="1"/>
  <c r="H162" i="2" a="1"/>
  <c r="H162" i="2" s="1"/>
  <c r="H163" i="2" a="1"/>
  <c r="H163" i="2"/>
  <c r="H164" i="2" a="1"/>
  <c r="H164" i="2"/>
  <c r="H165" i="2" a="1"/>
  <c r="H165" i="2" s="1"/>
  <c r="H166" i="2" a="1"/>
  <c r="H166" i="2"/>
  <c r="H167" i="2" a="1"/>
  <c r="H167" i="2" s="1"/>
  <c r="H168" i="2" a="1"/>
  <c r="H168" i="2" s="1"/>
  <c r="H169" i="2" a="1"/>
  <c r="H169" i="2"/>
  <c r="H170" i="2" a="1"/>
  <c r="H170" i="2"/>
  <c r="H171" i="2" a="1"/>
  <c r="H171" i="2" s="1"/>
  <c r="H172" i="2" a="1"/>
  <c r="H172" i="2"/>
  <c r="H173" i="2" a="1"/>
  <c r="H173" i="2" s="1"/>
  <c r="H2" i="2" a="1"/>
  <c r="H2" i="2" s="1"/>
  <c r="G3" i="2" a="1"/>
  <c r="G3" i="2"/>
  <c r="G4" i="2" a="1"/>
  <c r="G4" i="2"/>
  <c r="G5" i="2" a="1"/>
  <c r="G5" i="2" s="1"/>
  <c r="G6" i="2" a="1"/>
  <c r="G6" i="2" s="1"/>
  <c r="G7" i="2" a="1"/>
  <c r="G7" i="2" s="1"/>
  <c r="G8" i="2" a="1"/>
  <c r="G8" i="2" s="1"/>
  <c r="G9" i="2" a="1"/>
  <c r="G9" i="2"/>
  <c r="G10" i="2" a="1"/>
  <c r="G10" i="2"/>
  <c r="G11" i="2" a="1"/>
  <c r="G11" i="2" s="1"/>
  <c r="G12" i="2" a="1"/>
  <c r="G12" i="2" s="1"/>
  <c r="G13" i="2" a="1"/>
  <c r="G13" i="2" s="1"/>
  <c r="G14" i="2" a="1"/>
  <c r="G14" i="2" s="1"/>
  <c r="G15" i="2" a="1"/>
  <c r="G15" i="2"/>
  <c r="G16" i="2" a="1"/>
  <c r="G16" i="2"/>
  <c r="G17" i="2" a="1"/>
  <c r="G17" i="2" s="1"/>
  <c r="G18" i="2" a="1"/>
  <c r="G18" i="2" s="1"/>
  <c r="G19" i="2" a="1"/>
  <c r="G19" i="2" s="1"/>
  <c r="G20" i="2" a="1"/>
  <c r="G20" i="2" s="1"/>
  <c r="G21" i="2" a="1"/>
  <c r="G21" i="2"/>
  <c r="G22" i="2" a="1"/>
  <c r="G22" i="2"/>
  <c r="G23" i="2" a="1"/>
  <c r="G23" i="2" s="1"/>
  <c r="G24" i="2" a="1"/>
  <c r="G24" i="2" s="1"/>
  <c r="G25" i="2" a="1"/>
  <c r="G25" i="2" s="1"/>
  <c r="G26" i="2" a="1"/>
  <c r="G26" i="2" s="1"/>
  <c r="G27" i="2" a="1"/>
  <c r="G27" i="2"/>
  <c r="G28" i="2" a="1"/>
  <c r="G28" i="2"/>
  <c r="G29" i="2" a="1"/>
  <c r="G29" i="2" s="1"/>
  <c r="G31" i="2" a="1"/>
  <c r="G31" i="2" s="1"/>
  <c r="G32" i="2" a="1"/>
  <c r="G32" i="2" s="1"/>
  <c r="G33" i="2" a="1"/>
  <c r="G33" i="2"/>
  <c r="G34" i="2" a="1"/>
  <c r="G34" i="2"/>
  <c r="G35" i="2" a="1"/>
  <c r="G35" i="2" s="1"/>
  <c r="G36" i="2" a="1"/>
  <c r="G36" i="2" s="1"/>
  <c r="G37" i="2" a="1"/>
  <c r="G37" i="2" s="1"/>
  <c r="G38" i="2" a="1"/>
  <c r="G38" i="2" s="1"/>
  <c r="G39" i="2" a="1"/>
  <c r="G39" i="2"/>
  <c r="G40" i="2" a="1"/>
  <c r="G40" i="2"/>
  <c r="G41" i="2" a="1"/>
  <c r="G41" i="2" s="1"/>
  <c r="G42" i="2" a="1"/>
  <c r="G42" i="2" s="1"/>
  <c r="G43" i="2" a="1"/>
  <c r="G43" i="2" s="1"/>
  <c r="G44" i="2" a="1"/>
  <c r="G44" i="2" s="1"/>
  <c r="G45" i="2" a="1"/>
  <c r="G45" i="2"/>
  <c r="G46" i="2" a="1"/>
  <c r="G46" i="2"/>
  <c r="G47" i="2" a="1"/>
  <c r="G47" i="2" s="1"/>
  <c r="G48" i="2" a="1"/>
  <c r="G48" i="2" s="1"/>
  <c r="G49" i="2" a="1"/>
  <c r="G49" i="2" s="1"/>
  <c r="G50" i="2" a="1"/>
  <c r="G50" i="2" s="1"/>
  <c r="G51" i="2" a="1"/>
  <c r="G51" i="2"/>
  <c r="G52" i="2" a="1"/>
  <c r="G52" i="2"/>
  <c r="G53" i="2" a="1"/>
  <c r="G53" i="2" s="1"/>
  <c r="G54" i="2" a="1"/>
  <c r="G54" i="2" s="1"/>
  <c r="G55" i="2" a="1"/>
  <c r="G55" i="2" s="1"/>
  <c r="G56" i="2" a="1"/>
  <c r="G56" i="2" s="1"/>
  <c r="G57" i="2" a="1"/>
  <c r="G57" i="2"/>
  <c r="G58" i="2" a="1"/>
  <c r="G58" i="2"/>
  <c r="G59" i="2" a="1"/>
  <c r="G59" i="2" s="1"/>
  <c r="G60" i="2" a="1"/>
  <c r="G60" i="2" s="1"/>
  <c r="G61" i="2" a="1"/>
  <c r="G61" i="2" s="1"/>
  <c r="G62" i="2" a="1"/>
  <c r="G62" i="2" s="1"/>
  <c r="G63" i="2" a="1"/>
  <c r="G63" i="2"/>
  <c r="G64" i="2" a="1"/>
  <c r="G64" i="2"/>
  <c r="G65" i="2" a="1"/>
  <c r="G65" i="2" s="1"/>
  <c r="G66" i="2" a="1"/>
  <c r="G66" i="2" s="1"/>
  <c r="G67" i="2" a="1"/>
  <c r="G67" i="2" s="1"/>
  <c r="G68" i="2" a="1"/>
  <c r="G68" i="2" s="1"/>
  <c r="G69" i="2" a="1"/>
  <c r="G69" i="2"/>
  <c r="G70" i="2" a="1"/>
  <c r="G70" i="2"/>
  <c r="G71" i="2" a="1"/>
  <c r="G71" i="2" s="1"/>
  <c r="G72" i="2" a="1"/>
  <c r="G72" i="2" s="1"/>
  <c r="G73" i="2" a="1"/>
  <c r="G73" i="2" s="1"/>
  <c r="G74" i="2" a="1"/>
  <c r="G74" i="2" s="1"/>
  <c r="G75" i="2" a="1"/>
  <c r="G75" i="2"/>
  <c r="G76" i="2" a="1"/>
  <c r="G76" i="2"/>
  <c r="G77" i="2" a="1"/>
  <c r="G77" i="2" s="1"/>
  <c r="G78" i="2" a="1"/>
  <c r="G78" i="2" s="1"/>
  <c r="G79" i="2" a="1"/>
  <c r="G79" i="2" s="1"/>
  <c r="G80" i="2" a="1"/>
  <c r="G80" i="2" s="1"/>
  <c r="G81" i="2" a="1"/>
  <c r="G81" i="2"/>
  <c r="G82" i="2" a="1"/>
  <c r="G82" i="2"/>
  <c r="G83" i="2" a="1"/>
  <c r="G83" i="2" s="1"/>
  <c r="G84" i="2" a="1"/>
  <c r="G84" i="2" s="1"/>
  <c r="G85" i="2" a="1"/>
  <c r="G85" i="2" s="1"/>
  <c r="G86" i="2" a="1"/>
  <c r="G86" i="2" s="1"/>
  <c r="G87" i="2" a="1"/>
  <c r="G87" i="2"/>
  <c r="G88" i="2" a="1"/>
  <c r="G88" i="2"/>
  <c r="G89" i="2" a="1"/>
  <c r="G89" i="2" s="1"/>
  <c r="G90" i="2" a="1"/>
  <c r="G90" i="2" s="1"/>
  <c r="G91" i="2" a="1"/>
  <c r="G91" i="2" s="1"/>
  <c r="G92" i="2" a="1"/>
  <c r="G92" i="2" s="1"/>
  <c r="G93" i="2" a="1"/>
  <c r="G93" i="2"/>
  <c r="G94" i="2" a="1"/>
  <c r="G94" i="2"/>
  <c r="G95" i="2" a="1"/>
  <c r="G95" i="2" s="1"/>
  <c r="G96" i="2" a="1"/>
  <c r="G96" i="2" s="1"/>
  <c r="G97" i="2" a="1"/>
  <c r="G97" i="2" s="1"/>
  <c r="G98" i="2" a="1"/>
  <c r="G98" i="2" s="1"/>
  <c r="G99" i="2" a="1"/>
  <c r="G99" i="2"/>
  <c r="G100" i="2" a="1"/>
  <c r="G100" i="2"/>
  <c r="G101" i="2" a="1"/>
  <c r="G101" i="2" s="1"/>
  <c r="G102" i="2" a="1"/>
  <c r="G102" i="2" s="1"/>
  <c r="G103" i="2" a="1"/>
  <c r="G103" i="2" s="1"/>
  <c r="G104" i="2" a="1"/>
  <c r="G104" i="2" s="1"/>
  <c r="G105" i="2" a="1"/>
  <c r="G105" i="2"/>
  <c r="G106" i="2" a="1"/>
  <c r="G106" i="2"/>
  <c r="G107" i="2" a="1"/>
  <c r="G107" i="2" s="1"/>
  <c r="G108" i="2" a="1"/>
  <c r="G108" i="2" s="1"/>
  <c r="G109" i="2" a="1"/>
  <c r="G109" i="2" s="1"/>
  <c r="G110" i="2" a="1"/>
  <c r="G110" i="2" s="1"/>
  <c r="G111" i="2" a="1"/>
  <c r="G111" i="2"/>
  <c r="G112" i="2" a="1"/>
  <c r="G112" i="2"/>
  <c r="G113" i="2" a="1"/>
  <c r="G113" i="2" s="1"/>
  <c r="G114" i="2" a="1"/>
  <c r="G114" i="2" s="1"/>
  <c r="G115" i="2" a="1"/>
  <c r="G115" i="2" s="1"/>
  <c r="G116" i="2" a="1"/>
  <c r="G116" i="2" s="1"/>
  <c r="G117" i="2" a="1"/>
  <c r="G117" i="2"/>
  <c r="G118" i="2" a="1"/>
  <c r="G118" i="2"/>
  <c r="G119" i="2" a="1"/>
  <c r="G119" i="2" s="1"/>
  <c r="G120" i="2" a="1"/>
  <c r="G120" i="2" s="1"/>
  <c r="G121" i="2" a="1"/>
  <c r="G121" i="2" s="1"/>
  <c r="G122" i="2" a="1"/>
  <c r="G122" i="2" s="1"/>
  <c r="G123" i="2" a="1"/>
  <c r="G123" i="2"/>
  <c r="G124" i="2" a="1"/>
  <c r="G124" i="2"/>
  <c r="G125" i="2" a="1"/>
  <c r="G125" i="2" s="1"/>
  <c r="G126" i="2" a="1"/>
  <c r="G126" i="2" s="1"/>
  <c r="G127" i="2" a="1"/>
  <c r="G127" i="2" s="1"/>
  <c r="G128" i="2" a="1"/>
  <c r="G128" i="2" s="1"/>
  <c r="G129" i="2" a="1"/>
  <c r="G129" i="2"/>
  <c r="G130" i="2" a="1"/>
  <c r="G130" i="2" s="1"/>
  <c r="G131" i="2" a="1"/>
  <c r="G131" i="2" s="1"/>
  <c r="G132" i="2" a="1"/>
  <c r="G132" i="2" s="1"/>
  <c r="G133" i="2" a="1"/>
  <c r="G133" i="2" s="1"/>
  <c r="G134" i="2" a="1"/>
  <c r="G134" i="2" s="1"/>
  <c r="G135" i="2" a="1"/>
  <c r="G135" i="2"/>
  <c r="G136" i="2" a="1"/>
  <c r="G136" i="2"/>
  <c r="G137" i="2" a="1"/>
  <c r="G137" i="2" s="1"/>
  <c r="G138" i="2" a="1"/>
  <c r="G138" i="2" s="1"/>
  <c r="G139" i="2" a="1"/>
  <c r="G139" i="2" s="1"/>
  <c r="G140" i="2" a="1"/>
  <c r="G140" i="2" s="1"/>
  <c r="G141" i="2" a="1"/>
  <c r="G141" i="2"/>
  <c r="G142" i="2" a="1"/>
  <c r="G142" i="2"/>
  <c r="G143" i="2" a="1"/>
  <c r="G143" i="2" s="1"/>
  <c r="G144" i="2" a="1"/>
  <c r="G144" i="2" s="1"/>
  <c r="G145" i="2" a="1"/>
  <c r="G145" i="2" s="1"/>
  <c r="G146" i="2" a="1"/>
  <c r="G146" i="2" s="1"/>
  <c r="G147" i="2" a="1"/>
  <c r="G147" i="2"/>
  <c r="G148" i="2" a="1"/>
  <c r="G148" i="2"/>
  <c r="G149" i="2" a="1"/>
  <c r="G149" i="2" s="1"/>
  <c r="G150" i="2" a="1"/>
  <c r="G150" i="2" s="1"/>
  <c r="G151" i="2" a="1"/>
  <c r="G151" i="2" s="1"/>
  <c r="G152" i="2" a="1"/>
  <c r="G152" i="2" s="1"/>
  <c r="G153" i="2" a="1"/>
  <c r="G153" i="2"/>
  <c r="G154" i="2" a="1"/>
  <c r="G154" i="2"/>
  <c r="G155" i="2" a="1"/>
  <c r="G155" i="2" s="1"/>
  <c r="G156" i="2" a="1"/>
  <c r="G156" i="2" s="1"/>
  <c r="G157" i="2" a="1"/>
  <c r="G157" i="2" s="1"/>
  <c r="G158" i="2" a="1"/>
  <c r="G158" i="2" s="1"/>
  <c r="G159" i="2" a="1"/>
  <c r="G159" i="2"/>
  <c r="G160" i="2" a="1"/>
  <c r="G160" i="2"/>
  <c r="G161" i="2" a="1"/>
  <c r="G161" i="2" s="1"/>
  <c r="G162" i="2" a="1"/>
  <c r="G162" i="2" s="1"/>
  <c r="G163" i="2" a="1"/>
  <c r="G163" i="2" s="1"/>
  <c r="G164" i="2" a="1"/>
  <c r="G164" i="2" s="1"/>
  <c r="G165" i="2" a="1"/>
  <c r="G165" i="2"/>
  <c r="G166" i="2" a="1"/>
  <c r="G166" i="2"/>
  <c r="G167" i="2" a="1"/>
  <c r="G167" i="2" s="1"/>
  <c r="G168" i="2" a="1"/>
  <c r="G168" i="2" s="1"/>
  <c r="G169" i="2" a="1"/>
  <c r="G169" i="2" s="1"/>
  <c r="G170" i="2" a="1"/>
  <c r="G170" i="2" s="1"/>
  <c r="G171" i="2" a="1"/>
  <c r="G171" i="2"/>
  <c r="G172" i="2" a="1"/>
  <c r="G172" i="2" s="1"/>
  <c r="G173" i="2" a="1"/>
  <c r="G173" i="2" s="1"/>
  <c r="G2" i="2" a="1"/>
  <c r="G2" i="2" s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2" i="2"/>
  <c r="O16" i="2"/>
  <c r="F16" i="2" s="1"/>
  <c r="O17" i="2"/>
  <c r="F17" i="2" s="1"/>
  <c r="O18" i="2"/>
  <c r="F18" i="2" s="1"/>
  <c r="O19" i="2"/>
  <c r="F19" i="2" s="1"/>
  <c r="O20" i="2"/>
  <c r="F20" i="2" s="1"/>
  <c r="O21" i="2"/>
  <c r="O22" i="2"/>
  <c r="O23" i="2"/>
  <c r="F23" i="2" s="1"/>
  <c r="O24" i="2"/>
  <c r="F24" i="2" s="1"/>
  <c r="O25" i="2"/>
  <c r="F25" i="2" s="1"/>
  <c r="O26" i="2"/>
  <c r="F26" i="2" s="1"/>
  <c r="O27" i="2"/>
  <c r="F27" i="2" s="1"/>
  <c r="O28" i="2"/>
  <c r="F28" i="2" s="1"/>
  <c r="O29" i="2"/>
  <c r="O30" i="2"/>
  <c r="H30" i="2" s="1" a="1"/>
  <c r="H30" i="2" s="1"/>
  <c r="O31" i="2"/>
  <c r="F31" i="2" s="1"/>
  <c r="O32" i="2"/>
  <c r="F32" i="2" s="1"/>
  <c r="O33" i="2"/>
  <c r="F33" i="2" s="1"/>
  <c r="O34" i="2"/>
  <c r="F34" i="2" s="1"/>
  <c r="O35" i="2"/>
  <c r="F35" i="2" s="1"/>
  <c r="O36" i="2"/>
  <c r="F36" i="2" s="1"/>
  <c r="O37" i="2"/>
  <c r="F37" i="2" s="1"/>
  <c r="O38" i="2"/>
  <c r="F38" i="2" s="1"/>
  <c r="O39" i="2"/>
  <c r="F39" i="2" s="1"/>
  <c r="O40" i="2"/>
  <c r="F40" i="2" s="1"/>
  <c r="O41" i="2"/>
  <c r="F41" i="2" s="1"/>
  <c r="O42" i="2"/>
  <c r="F42" i="2" s="1"/>
  <c r="O43" i="2"/>
  <c r="F43" i="2" s="1"/>
  <c r="O44" i="2"/>
  <c r="F44" i="2" s="1"/>
  <c r="O45" i="2"/>
  <c r="F45" i="2" s="1"/>
  <c r="O46" i="2"/>
  <c r="F46" i="2" s="1"/>
  <c r="O47" i="2"/>
  <c r="F47" i="2" s="1"/>
  <c r="O48" i="2"/>
  <c r="F48" i="2" s="1"/>
  <c r="O49" i="2"/>
  <c r="F49" i="2" s="1"/>
  <c r="O50" i="2"/>
  <c r="F50" i="2" s="1"/>
  <c r="O51" i="2"/>
  <c r="F51" i="2" s="1"/>
  <c r="O52" i="2"/>
  <c r="F52" i="2" s="1"/>
  <c r="O53" i="2"/>
  <c r="F53" i="2" s="1"/>
  <c r="O54" i="2"/>
  <c r="F54" i="2" s="1"/>
  <c r="O55" i="2"/>
  <c r="F55" i="2" s="1"/>
  <c r="O56" i="2"/>
  <c r="F56" i="2" s="1"/>
  <c r="O57" i="2"/>
  <c r="O58" i="2"/>
  <c r="O59" i="2"/>
  <c r="F59" i="2" s="1"/>
  <c r="O60" i="2"/>
  <c r="F60" i="2" s="1"/>
  <c r="O61" i="2"/>
  <c r="F61" i="2" s="1"/>
  <c r="O62" i="2"/>
  <c r="F62" i="2" s="1"/>
  <c r="O63" i="2"/>
  <c r="F63" i="2" s="1"/>
  <c r="O64" i="2"/>
  <c r="F64" i="2" s="1"/>
  <c r="O65" i="2"/>
  <c r="F65" i="2" s="1"/>
  <c r="O66" i="2"/>
  <c r="F66" i="2" s="1"/>
  <c r="O67" i="2"/>
  <c r="F67" i="2" s="1"/>
  <c r="O68" i="2"/>
  <c r="F68" i="2" s="1"/>
  <c r="O69" i="2"/>
  <c r="F69" i="2" s="1"/>
  <c r="O70" i="2"/>
  <c r="F70" i="2" s="1"/>
  <c r="O71" i="2"/>
  <c r="F71" i="2" s="1"/>
  <c r="O72" i="2"/>
  <c r="F72" i="2" s="1"/>
  <c r="O73" i="2"/>
  <c r="F73" i="2" s="1"/>
  <c r="O74" i="2"/>
  <c r="F74" i="2" s="1"/>
  <c r="O75" i="2"/>
  <c r="F75" i="2" s="1"/>
  <c r="O76" i="2"/>
  <c r="F76" i="2" s="1"/>
  <c r="O77" i="2"/>
  <c r="F77" i="2" s="1"/>
  <c r="O78" i="2"/>
  <c r="F78" i="2" s="1"/>
  <c r="O79" i="2"/>
  <c r="F79" i="2" s="1"/>
  <c r="O80" i="2"/>
  <c r="F80" i="2" s="1"/>
  <c r="O81" i="2"/>
  <c r="F81" i="2" s="1"/>
  <c r="O82" i="2"/>
  <c r="F82" i="2" s="1"/>
  <c r="O83" i="2"/>
  <c r="F83" i="2" s="1"/>
  <c r="O84" i="2"/>
  <c r="F84" i="2" s="1"/>
  <c r="O85" i="2"/>
  <c r="F85" i="2" s="1"/>
  <c r="O86" i="2"/>
  <c r="F86" i="2" s="1"/>
  <c r="O87" i="2"/>
  <c r="F87" i="2" s="1"/>
  <c r="O88" i="2"/>
  <c r="F88" i="2" s="1"/>
  <c r="O89" i="2"/>
  <c r="F89" i="2" s="1"/>
  <c r="O90" i="2"/>
  <c r="F90" i="2" s="1"/>
  <c r="O91" i="2"/>
  <c r="F91" i="2" s="1"/>
  <c r="O92" i="2"/>
  <c r="F92" i="2" s="1"/>
  <c r="O93" i="2"/>
  <c r="F93" i="2" s="1"/>
  <c r="O94" i="2"/>
  <c r="F94" i="2" s="1"/>
  <c r="O95" i="2"/>
  <c r="F95" i="2" s="1"/>
  <c r="O96" i="2"/>
  <c r="F96" i="2" s="1"/>
  <c r="O97" i="2"/>
  <c r="F97" i="2" s="1"/>
  <c r="O98" i="2"/>
  <c r="F98" i="2" s="1"/>
  <c r="O99" i="2"/>
  <c r="F99" i="2" s="1"/>
  <c r="O100" i="2"/>
  <c r="F100" i="2" s="1"/>
  <c r="O101" i="2"/>
  <c r="F101" i="2" s="1"/>
  <c r="O102" i="2"/>
  <c r="F102" i="2" s="1"/>
  <c r="O103" i="2"/>
  <c r="F103" i="2" s="1"/>
  <c r="O104" i="2"/>
  <c r="F104" i="2" s="1"/>
  <c r="O105" i="2"/>
  <c r="F105" i="2" s="1"/>
  <c r="O106" i="2"/>
  <c r="F106" i="2" s="1"/>
  <c r="O107" i="2"/>
  <c r="F107" i="2" s="1"/>
  <c r="O108" i="2"/>
  <c r="F108" i="2" s="1"/>
  <c r="O109" i="2"/>
  <c r="F109" i="2" s="1"/>
  <c r="O110" i="2"/>
  <c r="F110" i="2" s="1"/>
  <c r="O111" i="2"/>
  <c r="F111" i="2" s="1"/>
  <c r="O112" i="2"/>
  <c r="F112" i="2" s="1"/>
  <c r="O113" i="2"/>
  <c r="F113" i="2" s="1"/>
  <c r="O114" i="2"/>
  <c r="F114" i="2" s="1"/>
  <c r="O115" i="2"/>
  <c r="F115" i="2" s="1"/>
  <c r="O116" i="2"/>
  <c r="F116" i="2" s="1"/>
  <c r="O117" i="2"/>
  <c r="F117" i="2" s="1"/>
  <c r="O118" i="2"/>
  <c r="F118" i="2" s="1"/>
  <c r="O119" i="2"/>
  <c r="F119" i="2" s="1"/>
  <c r="O120" i="2"/>
  <c r="F120" i="2" s="1"/>
  <c r="O121" i="2"/>
  <c r="F121" i="2" s="1"/>
  <c r="O122" i="2"/>
  <c r="F122" i="2" s="1"/>
  <c r="O123" i="2"/>
  <c r="F123" i="2" s="1"/>
  <c r="O124" i="2"/>
  <c r="F124" i="2" s="1"/>
  <c r="O125" i="2"/>
  <c r="F125" i="2" s="1"/>
  <c r="O126" i="2"/>
  <c r="F126" i="2" s="1"/>
  <c r="O127" i="2"/>
  <c r="F127" i="2" s="1"/>
  <c r="O128" i="2"/>
  <c r="F128" i="2" s="1"/>
  <c r="O129" i="2"/>
  <c r="F129" i="2" s="1"/>
  <c r="O130" i="2"/>
  <c r="F130" i="2" s="1"/>
  <c r="O131" i="2"/>
  <c r="F131" i="2" s="1"/>
  <c r="O132" i="2"/>
  <c r="F132" i="2" s="1"/>
  <c r="O133" i="2"/>
  <c r="F133" i="2" s="1"/>
  <c r="O134" i="2"/>
  <c r="F134" i="2" s="1"/>
  <c r="O135" i="2"/>
  <c r="F135" i="2" s="1"/>
  <c r="O136" i="2"/>
  <c r="F136" i="2" s="1"/>
  <c r="O137" i="2"/>
  <c r="F137" i="2" s="1"/>
  <c r="O138" i="2"/>
  <c r="F138" i="2" s="1"/>
  <c r="O139" i="2"/>
  <c r="F139" i="2" s="1"/>
  <c r="O140" i="2"/>
  <c r="F140" i="2" s="1"/>
  <c r="O141" i="2"/>
  <c r="F141" i="2" s="1"/>
  <c r="O142" i="2"/>
  <c r="F142" i="2" s="1"/>
  <c r="O143" i="2"/>
  <c r="F143" i="2" s="1"/>
  <c r="O144" i="2"/>
  <c r="F144" i="2" s="1"/>
  <c r="O145" i="2"/>
  <c r="F145" i="2" s="1"/>
  <c r="O146" i="2"/>
  <c r="F146" i="2" s="1"/>
  <c r="O147" i="2"/>
  <c r="F147" i="2" s="1"/>
  <c r="O148" i="2"/>
  <c r="F148" i="2" s="1"/>
  <c r="O149" i="2"/>
  <c r="F149" i="2" s="1"/>
  <c r="O150" i="2"/>
  <c r="F150" i="2" s="1"/>
  <c r="O151" i="2"/>
  <c r="F151" i="2" s="1"/>
  <c r="O152" i="2"/>
  <c r="F152" i="2" s="1"/>
  <c r="O153" i="2"/>
  <c r="F153" i="2" s="1"/>
  <c r="O154" i="2"/>
  <c r="F154" i="2" s="1"/>
  <c r="O155" i="2"/>
  <c r="F155" i="2" s="1"/>
  <c r="O156" i="2"/>
  <c r="F156" i="2" s="1"/>
  <c r="O157" i="2"/>
  <c r="F157" i="2" s="1"/>
  <c r="O158" i="2"/>
  <c r="F158" i="2" s="1"/>
  <c r="O159" i="2"/>
  <c r="F159" i="2" s="1"/>
  <c r="O160" i="2"/>
  <c r="F160" i="2" s="1"/>
  <c r="O161" i="2"/>
  <c r="F161" i="2" s="1"/>
  <c r="O162" i="2"/>
  <c r="F162" i="2" s="1"/>
  <c r="O163" i="2"/>
  <c r="F163" i="2" s="1"/>
  <c r="O164" i="2"/>
  <c r="F164" i="2" s="1"/>
  <c r="O165" i="2"/>
  <c r="F165" i="2" s="1"/>
  <c r="O166" i="2"/>
  <c r="O167" i="2"/>
  <c r="F167" i="2" s="1"/>
  <c r="O168" i="2"/>
  <c r="F168" i="2" s="1"/>
  <c r="O169" i="2"/>
  <c r="F169" i="2" s="1"/>
  <c r="O170" i="2"/>
  <c r="F170" i="2" s="1"/>
  <c r="O171" i="2"/>
  <c r="F171" i="2" s="1"/>
  <c r="O172" i="2"/>
  <c r="F172" i="2" s="1"/>
  <c r="O173" i="2"/>
  <c r="F173" i="2" s="1"/>
  <c r="O3" i="2"/>
  <c r="F3" i="2" s="1"/>
  <c r="O4" i="2"/>
  <c r="F4" i="2" s="1"/>
  <c r="O5" i="2"/>
  <c r="F5" i="2" s="1"/>
  <c r="O6" i="2"/>
  <c r="F6" i="2" s="1"/>
  <c r="O7" i="2"/>
  <c r="F7" i="2" s="1"/>
  <c r="O8" i="2"/>
  <c r="F8" i="2" s="1"/>
  <c r="O9" i="2"/>
  <c r="F9" i="2" s="1"/>
  <c r="O10" i="2"/>
  <c r="F10" i="2" s="1"/>
  <c r="O11" i="2"/>
  <c r="F11" i="2" s="1"/>
  <c r="O12" i="2"/>
  <c r="F12" i="2" s="1"/>
  <c r="O13" i="2"/>
  <c r="F13" i="2" s="1"/>
  <c r="O14" i="2"/>
  <c r="F14" i="2" s="1"/>
  <c r="O15" i="2"/>
  <c r="F15" i="2" s="1"/>
  <c r="O2" i="2"/>
  <c r="F2" i="2" s="1"/>
  <c r="E35" i="2" l="1"/>
  <c r="E9" i="2"/>
  <c r="E8" i="2"/>
  <c r="E107" i="2"/>
  <c r="E71" i="2"/>
  <c r="E153" i="2"/>
  <c r="E117" i="2"/>
  <c r="E152" i="2"/>
  <c r="E128" i="2"/>
  <c r="E104" i="2"/>
  <c r="E80" i="2"/>
  <c r="E56" i="2"/>
  <c r="E32" i="2"/>
  <c r="E151" i="2"/>
  <c r="E127" i="2"/>
  <c r="E103" i="2"/>
  <c r="E79" i="2"/>
  <c r="E55" i="2"/>
  <c r="E31" i="2"/>
  <c r="E2" i="2"/>
  <c r="E6" i="2"/>
  <c r="E81" i="2"/>
  <c r="E45" i="2"/>
  <c r="E164" i="2"/>
  <c r="E140" i="2"/>
  <c r="E116" i="2"/>
  <c r="E92" i="2"/>
  <c r="E68" i="2"/>
  <c r="E44" i="2"/>
  <c r="E20" i="2"/>
  <c r="E163" i="2"/>
  <c r="E139" i="2"/>
  <c r="E115" i="2"/>
  <c r="E91" i="2"/>
  <c r="E67" i="2"/>
  <c r="E43" i="2"/>
  <c r="E19" i="2"/>
  <c r="E5" i="2"/>
  <c r="E4" i="2"/>
  <c r="E142" i="2"/>
  <c r="E94" i="2"/>
  <c r="E58" i="2"/>
  <c r="E22" i="2"/>
  <c r="E162" i="2"/>
  <c r="E138" i="2"/>
  <c r="E126" i="2"/>
  <c r="E114" i="2"/>
  <c r="E102" i="2"/>
  <c r="E78" i="2"/>
  <c r="E66" i="2"/>
  <c r="E54" i="2"/>
  <c r="E42" i="2"/>
  <c r="E30" i="2"/>
  <c r="G30" i="2" s="1" a="1"/>
  <c r="G30" i="2" s="1"/>
  <c r="E18" i="2"/>
  <c r="E173" i="2"/>
  <c r="E161" i="2"/>
  <c r="E149" i="2"/>
  <c r="E137" i="2"/>
  <c r="E125" i="2"/>
  <c r="E113" i="2"/>
  <c r="E101" i="2"/>
  <c r="E89" i="2"/>
  <c r="E77" i="2"/>
  <c r="E15" i="2"/>
  <c r="E3" i="2"/>
  <c r="E157" i="2"/>
  <c r="E145" i="2"/>
  <c r="E121" i="2"/>
  <c r="E109" i="2"/>
  <c r="E97" i="2"/>
  <c r="E73" i="2"/>
  <c r="E61" i="2"/>
  <c r="E49" i="2"/>
  <c r="E37" i="2"/>
  <c r="E25" i="2"/>
  <c r="E165" i="2"/>
  <c r="E141" i="2"/>
  <c r="E93" i="2"/>
  <c r="E57" i="2"/>
  <c r="E21" i="2"/>
  <c r="E156" i="2"/>
  <c r="E144" i="2"/>
  <c r="E120" i="2"/>
  <c r="E96" i="2"/>
  <c r="E72" i="2"/>
  <c r="E48" i="2"/>
  <c r="E24" i="2"/>
  <c r="E143" i="2"/>
  <c r="E167" i="2"/>
  <c r="E155" i="2"/>
  <c r="E131" i="2"/>
  <c r="E119" i="2"/>
  <c r="E95" i="2"/>
  <c r="E83" i="2"/>
  <c r="E59" i="2"/>
  <c r="E47" i="2"/>
  <c r="E23" i="2"/>
  <c r="E150" i="2"/>
  <c r="E90" i="2"/>
  <c r="E169" i="2"/>
  <c r="E133" i="2"/>
  <c r="E85" i="2"/>
  <c r="E69" i="2"/>
  <c r="E168" i="2"/>
  <c r="E132" i="2"/>
  <c r="E108" i="2"/>
  <c r="E84" i="2"/>
  <c r="E60" i="2"/>
  <c r="E36" i="2"/>
  <c r="F21" i="2"/>
  <c r="E118" i="2"/>
  <c r="E82" i="2"/>
  <c r="E46" i="2"/>
  <c r="E10" i="2"/>
  <c r="E166" i="2"/>
  <c r="F166" i="2"/>
  <c r="E11" i="2"/>
  <c r="E154" i="2"/>
  <c r="E7" i="2"/>
  <c r="E65" i="2"/>
  <c r="E53" i="2"/>
  <c r="E41" i="2"/>
  <c r="E29" i="2"/>
  <c r="E17" i="2"/>
  <c r="E106" i="2"/>
  <c r="E70" i="2"/>
  <c r="E34" i="2"/>
  <c r="F58" i="2"/>
  <c r="E172" i="2"/>
  <c r="E160" i="2"/>
  <c r="E148" i="2"/>
  <c r="E136" i="2"/>
  <c r="E124" i="2"/>
  <c r="E112" i="2"/>
  <c r="E100" i="2"/>
  <c r="E88" i="2"/>
  <c r="E76" i="2"/>
  <c r="E64" i="2"/>
  <c r="E52" i="2"/>
  <c r="E40" i="2"/>
  <c r="E28" i="2"/>
  <c r="E16" i="2"/>
  <c r="E105" i="2"/>
  <c r="E33" i="2"/>
  <c r="F57" i="2"/>
  <c r="E171" i="2"/>
  <c r="E159" i="2"/>
  <c r="E147" i="2"/>
  <c r="E135" i="2"/>
  <c r="E123" i="2"/>
  <c r="E111" i="2"/>
  <c r="E99" i="2"/>
  <c r="E87" i="2"/>
  <c r="E75" i="2"/>
  <c r="E63" i="2"/>
  <c r="E51" i="2"/>
  <c r="E39" i="2"/>
  <c r="E27" i="2"/>
  <c r="E170" i="2"/>
  <c r="E158" i="2"/>
  <c r="E146" i="2"/>
  <c r="E134" i="2"/>
  <c r="E122" i="2"/>
  <c r="E110" i="2"/>
  <c r="E98" i="2"/>
  <c r="E86" i="2"/>
  <c r="E74" i="2"/>
  <c r="E62" i="2"/>
  <c r="E50" i="2"/>
  <c r="E38" i="2"/>
  <c r="E26" i="2"/>
  <c r="E14" i="2"/>
  <c r="F22" i="2"/>
  <c r="E13" i="2"/>
  <c r="E130" i="2"/>
  <c r="E12" i="2"/>
  <c r="E1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tc={A0FC83CE-29A3-4AEA-ADB7-6588A0A6EDE5}</author>
  </authors>
  <commentList>
    <comment ref="A30" authorId="0" shapeId="0" xr:uid="{A0FC83CE-29A3-4AEA-ADB7-6588A0A6EDE5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เคสนี้แทนผู้ป่วยRCC  6 ขวบ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<sst xmlns="http://schemas.openxmlformats.org/spreadsheetml/2006/main" count="557" uniqueCount="33">
  <si>
    <t>RCC</t>
  </si>
  <si>
    <t>UTUC</t>
  </si>
  <si>
    <t xml:space="preserve">Gender </t>
  </si>
  <si>
    <t xml:space="preserve">Age </t>
  </si>
  <si>
    <t>NLR</t>
  </si>
  <si>
    <t>PLR</t>
  </si>
  <si>
    <t>Diagnosis</t>
  </si>
  <si>
    <t>WBC</t>
  </si>
  <si>
    <t>PLT</t>
  </si>
  <si>
    <t>Diagnosis_num</t>
  </si>
  <si>
    <t>No</t>
  </si>
  <si>
    <t>Lymphocytes</t>
  </si>
  <si>
    <t>LY%</t>
  </si>
  <si>
    <t>Neutrophil</t>
  </si>
  <si>
    <t>NE%</t>
  </si>
  <si>
    <t xml:space="preserve">Age_Range </t>
  </si>
  <si>
    <t>20-29</t>
  </si>
  <si>
    <t>30-39</t>
  </si>
  <si>
    <t>40-49</t>
  </si>
  <si>
    <t>50-59</t>
  </si>
  <si>
    <t>60-69</t>
  </si>
  <si>
    <t>70-79</t>
  </si>
  <si>
    <t>80-89</t>
  </si>
  <si>
    <t>Female</t>
  </si>
  <si>
    <t>Male</t>
  </si>
  <si>
    <t>NLR_CRI</t>
  </si>
  <si>
    <t>PLR_CRI</t>
  </si>
  <si>
    <t>Row Labels</t>
  </si>
  <si>
    <t>Grand Total</t>
  </si>
  <si>
    <t>Count of No</t>
  </si>
  <si>
    <t>Column Labels</t>
  </si>
  <si>
    <t>% Base on gender distribution by diagnosis</t>
  </si>
  <si>
    <t>proportion between RCC and UTUC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</si>
</sst>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name val="Tahoma"/>
      <family val="2"/>
      <scheme val="minor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9" fontId="0" fillId="0" borderId="0" xfId="1" applyFont="1"/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0" fillId="5" borderId="1" xfId="0" applyNumberFormat="1" applyFill="1" applyBorder="1"/>
    <xf numFmtId="0" fontId="3" fillId="6" borderId="1" xfId="0" applyFont="1" applyFill="1" applyBorder="1"/>
    <xf numFmtId="0" fontId="3" fillId="7" borderId="2" xfId="0" applyFont="1" applyFill="1" applyBorder="1" applyAlignment="1">
      <alignment horizontal="center" vertical="center"/>
    </xf>
    <xf numFmtId="2" fontId="3" fillId="6" borderId="1" xfId="0" applyNumberFormat="1" applyFont="1" applyFill="1" applyBorder="1"/>
    <xf numFmtId="0" fontId="3" fillId="6" borderId="1" xfId="0" applyFont="1" applyFill="1" applyBorder="1" applyAlignment="1">
      <alignment horizontal="center"/>
    </xf>
    <xf numFmtId="0" fontId="3" fillId="6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[Dataset_RCC_UTUC_ML_STAT.xlsx]Sheet!PivotTable1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664260717410308E-2"/>
          <c:y val="5.0925925925925923E-2"/>
          <c:w val="0.78245603674540687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Sheet!$B$3:$B$4</c:f>
              <c:strCache>
                <c:ptCount val="1"/>
                <c:pt idx="0">
                  <c:v>RCC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Sheet!$B$5</c:f>
              <c:numCache>
                <c:formatCode>General</c:formatCode>
                <c:ptCount val="1"/>
                <c:pt idx="0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E-490B-98AD-4F8CE4A4314A}"/>
            </c:ext>
          </c:extLst>
        </c:ser>
        <c:ser>
          <c:idx val="1"/>
          <c:order val="1"/>
          <c:tx>
            <c:strRef>
              <c:f>Sheet!$C$3:$C$4</c:f>
              <c:strCache>
                <c:ptCount val="1"/>
                <c:pt idx="0">
                  <c:v>UTUC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Sheet!$C$5</c:f>
              <c:numCache>
                <c:formatCode>General</c:formatCode>
                <c:ptCount val="1"/>
                <c:pt idx="0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6E-490B-98AD-4F8CE4A431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0818719"/>
        <c:axId val="310820159"/>
      </c:barChart>
      <c:catAx>
        <c:axId val="31081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10820159"/>
        <c:crosses val="autoZero"/>
        <c:auto val="1"/>
        <c:lblAlgn val="ctr"/>
        <c:lblOffset val="100"/>
        <c:noMultiLvlLbl val="0"/>
      </c:catAx>
      <c:valAx>
        <c:axId val="31082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1081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[Dataset_RCC_UTUC_ML_STAT.xlsx]Sheet!PivotTable2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Sheet!$I$3:$I$4</c:f>
              <c:strCache>
                <c:ptCount val="1"/>
                <c:pt idx="0">
                  <c:v>RCC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Sheet!$H$5:$H$7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Sheet!$I$5:$I$7</c:f>
              <c:numCache>
                <c:formatCode>General</c:formatCode>
                <c:ptCount val="2"/>
                <c:pt idx="0">
                  <c:v>44</c:v>
                </c:pt>
                <c:pt idx="1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5-45DB-AE84-EEC833CD5C4A}"/>
            </c:ext>
          </c:extLst>
        </c:ser>
        <c:ser>
          <c:idx val="1"/>
          <c:order val="1"/>
          <c:tx>
            <c:strRef>
              <c:f>Sheet!$J$3:$J$4</c:f>
              <c:strCache>
                <c:ptCount val="1"/>
                <c:pt idx="0">
                  <c:v>UTUC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Sheet!$H$5:$H$7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Sheet!$J$5:$J$7</c:f>
              <c:numCache>
                <c:formatCode>General</c:formatCode>
                <c:ptCount val="2"/>
                <c:pt idx="0">
                  <c:v>19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25-45DB-AE84-EEC833CD5C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7802463"/>
        <c:axId val="807786143"/>
      </c:barChart>
      <c:catAx>
        <c:axId val="80780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07786143"/>
        <c:crosses val="autoZero"/>
        <c:auto val="1"/>
        <c:lblAlgn val="ctr"/>
        <c:lblOffset val="100"/>
        <c:noMultiLvlLbl val="0"/>
      </c:catAx>
      <c:valAx>
        <c:axId val="807786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0780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281940</xdr:colOff>
      <xdr:row>8</xdr:row>
      <xdr:rowOff>167640</xdr:rowOff>
    </xdr:from>
    <xdr:to>
      <xdr:col>5</xdr:col>
      <xdr:colOff>647700</xdr:colOff>
      <xdr:row>24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75BAAC-307A-4ADB-B755-790CBDCAE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11430</xdr:colOff>
      <xdr:row>9</xdr:row>
      <xdr:rowOff>0</xdr:rowOff>
    </xdr:from>
    <xdr:to>
      <xdr:col>12</xdr:col>
      <xdr:colOff>377190</xdr:colOff>
      <xdr:row>24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5699514-EB25-F162-9AA9-1F0C317B4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iartisak Senchan" id="{F95A4E65-BD67-437F-876F-5DD70D5BE799}" userId="S::kiartisak@kkumail.com::99cd11dd-ff8d-4351-bc19-bb76c8dc1b4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461319212962" createdVersion="8" refreshedVersion="8" minRefreshableVersion="3" recordCount="172" xr:uid="{82D54045-65C7-4262-AA03-B81619508E56}">
  <cacheSource type="worksheet">
    <worksheetSource ref="A1:P173" sheet="case"/>
  </cacheSource>
  <cacheFields count="16">
    <cacheField name="No" numFmtId="0">
      <sharedItems containsSemiMixedTypes="0" containsString="0" containsNumber="1" containsInteger="1" minValue="1" maxValue="172"/>
    </cacheField>
    <cacheField name="Gender " numFmtId="0">
      <sharedItems count="2">
        <s v="Female"/>
        <s v="Male"/>
      </sharedItems>
    </cacheField>
    <cacheField name="Age " numFmtId="0">
      <sharedItems containsSemiMixedTypes="0" containsString="0" containsNumber="1" containsInteger="1" minValue="20" maxValue="87"/>
    </cacheField>
    <cacheField name="Age_Range " numFmtId="0">
      <sharedItems/>
    </cacheField>
    <cacheField name="NLR" numFmtId="2">
      <sharedItems containsSemiMixedTypes="0" containsString="0" containsNumber="1" minValue="0.18055555555555555" maxValue="31.333333333333336"/>
    </cacheField>
    <cacheField name="PLR" numFmtId="2">
      <sharedItems containsSemiMixedTypes="0" containsString="0" containsNumber="1" minValue="41.568760205503999" maxValue="776.12035443360742"/>
    </cacheField>
    <cacheField name="NLR_CRI" numFmtId="2">
      <sharedItems/>
    </cacheField>
    <cacheField name="PLR_CRI" numFmtId="2">
      <sharedItems/>
    </cacheField>
    <cacheField name="Diagnosis" numFmtId="0">
      <sharedItems count="2">
        <s v="RCC"/>
        <s v="UTUC"/>
      </sharedItems>
    </cacheField>
    <cacheField name="Diagnosis_num" numFmtId="0">
      <sharedItems containsSemiMixedTypes="0" containsString="0" containsNumber="1" containsInteger="1" minValue="1" maxValue="2"/>
    </cacheField>
    <cacheField name="WBC" numFmtId="2">
      <sharedItems containsSemiMixedTypes="0" containsString="0" containsNumber="1" minValue="3300" maxValue="30550"/>
    </cacheField>
    <cacheField name="PLT" numFmtId="2">
      <sharedItems containsSemiMixedTypes="0" containsString="0" containsNumber="1" containsInteger="1" minValue="103000" maxValue="702000"/>
    </cacheField>
    <cacheField name="NE%" numFmtId="2">
      <sharedItems containsSemiMixedTypes="0" containsString="0" containsNumber="1" minValue="13" maxValue="95.2"/>
    </cacheField>
    <cacheField name="LY%" numFmtId="2">
      <sharedItems containsSemiMixedTypes="0" containsString="0" containsNumber="1" minValue="2.8" maxValue="72"/>
    </cacheField>
    <cacheField name="Lymphocytes" numFmtId="2">
      <sharedItems containsSemiMixedTypes="0" containsString="0" containsNumber="1" minValue="415.14000000000004" maxValue="4453.99"/>
    </cacheField>
    <cacheField name="Neutrophil" numFmtId="2">
      <sharedItems containsSemiMixedTypes="0" containsString="0" containsNumber="1" minValue="676" maxValue="28747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n v="1"/>
    <x v="0"/>
    <n v="86"/>
    <s v="80-89"/>
    <n v="17"/>
    <n v="432"/>
    <s v="NLR&gt;=2.5"/>
    <s v="PLR&gt;=150"/>
    <x v="0"/>
    <n v="1"/>
    <n v="17500"/>
    <n v="378000"/>
    <n v="85"/>
    <n v="5"/>
    <n v="875"/>
    <n v="14875"/>
  </r>
  <r>
    <n v="2"/>
    <x v="0"/>
    <n v="66"/>
    <s v="60-69"/>
    <n v="4.25"/>
    <n v="231.01265822784811"/>
    <s v="NLR&gt;=2.5"/>
    <s v="PLR&gt;=150"/>
    <x v="0"/>
    <n v="1"/>
    <n v="7900"/>
    <n v="292000"/>
    <n v="68"/>
    <n v="16"/>
    <n v="1264"/>
    <n v="5372"/>
  </r>
  <r>
    <n v="3"/>
    <x v="1"/>
    <n v="69"/>
    <s v="60-69"/>
    <n v="2.4814814814814814"/>
    <n v="115.22633744855966"/>
    <s v="NLR&lt;2.5"/>
    <s v="PLR&lt;150"/>
    <x v="0"/>
    <n v="1"/>
    <n v="7200"/>
    <n v="224000"/>
    <n v="67"/>
    <n v="27"/>
    <n v="1944.0000000000002"/>
    <n v="4824"/>
  </r>
  <r>
    <n v="4"/>
    <x v="0"/>
    <n v="58"/>
    <s v="50-59"/>
    <n v="1.7500000000000002"/>
    <n v="123.69791666666667"/>
    <s v="NLR&lt;2.5"/>
    <s v="PLR&lt;150"/>
    <x v="0"/>
    <n v="1"/>
    <n v="4800"/>
    <n v="190000"/>
    <n v="56"/>
    <n v="32"/>
    <n v="1536"/>
    <n v="2688.0000000000005"/>
  </r>
  <r>
    <n v="5"/>
    <x v="1"/>
    <n v="72"/>
    <s v="70-79"/>
    <n v="2.5416666666666665"/>
    <n v="283.89238294898672"/>
    <s v="NLR&gt;=2.5"/>
    <s v="PLR&gt;=150"/>
    <x v="0"/>
    <n v="1"/>
    <n v="4770"/>
    <n v="325000"/>
    <n v="61"/>
    <n v="24"/>
    <n v="1144.8"/>
    <n v="2909.7"/>
  </r>
  <r>
    <n v="6"/>
    <x v="0"/>
    <n v="48"/>
    <s v="40-49"/>
    <n v="1.5135135135135136"/>
    <n v="172.45817245817247"/>
    <s v="NLR&lt;2.5"/>
    <s v="PLR&gt;=150"/>
    <x v="0"/>
    <n v="1"/>
    <n v="4200"/>
    <n v="268000"/>
    <n v="56"/>
    <n v="37"/>
    <n v="1554"/>
    <n v="2352"/>
  </r>
  <r>
    <n v="7"/>
    <x v="1"/>
    <n v="54"/>
    <s v="50-59"/>
    <n v="2"/>
    <n v="111.11111111111111"/>
    <s v="NLR&lt;2.5"/>
    <s v="PLR&lt;150"/>
    <x v="0"/>
    <n v="1"/>
    <n v="6000"/>
    <n v="200000"/>
    <n v="60"/>
    <n v="30"/>
    <n v="1800"/>
    <n v="3600"/>
  </r>
  <r>
    <n v="8"/>
    <x v="0"/>
    <n v="62"/>
    <s v="60-69"/>
    <n v="1.7812499999999998"/>
    <n v="87.797619047619051"/>
    <s v="NLR&lt;2.5"/>
    <s v="PLR&lt;150"/>
    <x v="0"/>
    <n v="1"/>
    <n v="6300"/>
    <n v="177000"/>
    <n v="57"/>
    <n v="32"/>
    <n v="2016"/>
    <n v="3590.9999999999995"/>
  </r>
  <r>
    <n v="9"/>
    <x v="1"/>
    <n v="54"/>
    <s v="50-59"/>
    <n v="1.5"/>
    <n v="103.40073529411765"/>
    <s v="NLR&lt;2.5"/>
    <s v="PLR&lt;150"/>
    <x v="0"/>
    <n v="1"/>
    <n v="6400"/>
    <n v="225000"/>
    <n v="51"/>
    <n v="34"/>
    <n v="2176"/>
    <n v="3264"/>
  </r>
  <r>
    <n v="10"/>
    <x v="1"/>
    <n v="65"/>
    <s v="60-69"/>
    <n v="2.4074074074074074"/>
    <n v="115.17615176151762"/>
    <s v="NLR&lt;2.5"/>
    <s v="PLR&lt;150"/>
    <x v="0"/>
    <n v="1"/>
    <n v="8200"/>
    <n v="255000"/>
    <n v="65"/>
    <n v="27"/>
    <n v="2214"/>
    <n v="5330"/>
  </r>
  <r>
    <n v="11"/>
    <x v="0"/>
    <n v="59"/>
    <s v="50-59"/>
    <n v="1.2352941176470589"/>
    <n v="91.294117647058826"/>
    <s v="NLR&lt;2.5"/>
    <s v="PLR&lt;150"/>
    <x v="0"/>
    <n v="1"/>
    <n v="6250"/>
    <n v="194000"/>
    <n v="42"/>
    <n v="34"/>
    <n v="2125"/>
    <n v="2625"/>
  </r>
  <r>
    <n v="12"/>
    <x v="1"/>
    <n v="56"/>
    <s v="50-59"/>
    <n v="3.0952380952380953"/>
    <n v="241.16743471582183"/>
    <s v="NLR&gt;=2.5"/>
    <s v="PLR&gt;=150"/>
    <x v="0"/>
    <n v="1"/>
    <n v="6200"/>
    <n v="314000"/>
    <n v="65"/>
    <n v="21"/>
    <n v="1302"/>
    <n v="4030"/>
  </r>
  <r>
    <n v="13"/>
    <x v="0"/>
    <n v="65"/>
    <s v="60-69"/>
    <n v="2.4782608695652173"/>
    <n v="325.05175983436851"/>
    <s v="NLR&lt;2.5"/>
    <s v="PLR&gt;=150"/>
    <x v="0"/>
    <n v="1"/>
    <n v="6300"/>
    <n v="471000"/>
    <n v="57"/>
    <n v="23"/>
    <n v="1449"/>
    <n v="3590.9999999999995"/>
  </r>
  <r>
    <n v="14"/>
    <x v="1"/>
    <n v="61"/>
    <s v="60-69"/>
    <n v="1.0571428571428572"/>
    <n v="102.94784580498866"/>
    <s v="NLR&lt;2.5"/>
    <s v="PLR&lt;150"/>
    <x v="0"/>
    <n v="1"/>
    <n v="6300"/>
    <n v="227000"/>
    <n v="37"/>
    <n v="35"/>
    <n v="2205"/>
    <n v="2331"/>
  </r>
  <r>
    <n v="15"/>
    <x v="1"/>
    <n v="53"/>
    <s v="50-59"/>
    <n v="2.6086956521739131"/>
    <n v="242.75362318840581"/>
    <s v="NLR&gt;=2.5"/>
    <s v="PLR&gt;=150"/>
    <x v="0"/>
    <n v="1"/>
    <n v="6000"/>
    <n v="335000"/>
    <n v="60"/>
    <n v="23"/>
    <n v="1380"/>
    <n v="3600"/>
  </r>
  <r>
    <n v="16"/>
    <x v="0"/>
    <n v="53"/>
    <s v="50-59"/>
    <n v="1.4615384615384615"/>
    <n v="123.65591397849462"/>
    <s v="NLR&lt;2.5"/>
    <s v="PLR&lt;150"/>
    <x v="0"/>
    <n v="1"/>
    <n v="6200"/>
    <n v="299000"/>
    <n v="57"/>
    <n v="39"/>
    <n v="2418"/>
    <n v="3533.9999999999995"/>
  </r>
  <r>
    <n v="17"/>
    <x v="1"/>
    <n v="60"/>
    <s v="60-69"/>
    <n v="3.8888888888888888"/>
    <n v="256.41025641025641"/>
    <s v="NLR&gt;=2.5"/>
    <s v="PLR&gt;=150"/>
    <x v="0"/>
    <n v="1"/>
    <n v="9360"/>
    <n v="432000"/>
    <n v="70"/>
    <n v="18"/>
    <n v="1684.8"/>
    <n v="6552"/>
  </r>
  <r>
    <n v="18"/>
    <x v="1"/>
    <n v="52"/>
    <s v="50-59"/>
    <n v="1.4864864864864864"/>
    <n v="76.076076076076077"/>
    <s v="NLR&lt;2.5"/>
    <s v="PLR&lt;150"/>
    <x v="0"/>
    <n v="1"/>
    <n v="8100"/>
    <n v="228000"/>
    <n v="55"/>
    <n v="37"/>
    <n v="2997"/>
    <n v="4455"/>
  </r>
  <r>
    <n v="19"/>
    <x v="1"/>
    <n v="51"/>
    <s v="50-59"/>
    <n v="1.5294117647058822"/>
    <n v="127.45098039215685"/>
    <s v="NLR&lt;2.5"/>
    <s v="PLR&lt;150"/>
    <x v="0"/>
    <n v="1"/>
    <n v="6000"/>
    <n v="260000"/>
    <n v="52"/>
    <n v="34"/>
    <n v="2040.0000000000002"/>
    <n v="3120"/>
  </r>
  <r>
    <n v="20"/>
    <x v="0"/>
    <n v="46"/>
    <s v="40-49"/>
    <n v="3.7894736842105261"/>
    <n v="401.60183066361554"/>
    <s v="NLR&gt;=2.5"/>
    <s v="PLR&gt;=150"/>
    <x v="0"/>
    <n v="1"/>
    <n v="9200"/>
    <n v="702000"/>
    <n v="72"/>
    <n v="19"/>
    <n v="1748"/>
    <n v="6624"/>
  </r>
  <r>
    <n v="21"/>
    <x v="0"/>
    <n v="63"/>
    <s v="60-69"/>
    <n v="1.4054054054054055"/>
    <n v="111.66429587482219"/>
    <s v="NLR&lt;2.5"/>
    <s v="PLR&lt;150"/>
    <x v="0"/>
    <n v="1"/>
    <n v="7600"/>
    <n v="314000"/>
    <n v="52"/>
    <n v="37"/>
    <n v="2812"/>
    <n v="3952"/>
  </r>
  <r>
    <n v="22"/>
    <x v="1"/>
    <n v="44"/>
    <s v="40-49"/>
    <n v="1.6451612903225807"/>
    <n v="161.81061394380853"/>
    <s v="NLR&lt;2.5"/>
    <s v="PLR&gt;=150"/>
    <x v="0"/>
    <n v="1"/>
    <n v="6200"/>
    <n v="311000"/>
    <n v="51"/>
    <n v="31"/>
    <n v="1922"/>
    <n v="3162"/>
  </r>
  <r>
    <n v="23"/>
    <x v="1"/>
    <n v="54"/>
    <s v="50-59"/>
    <n v="4.1764705882352944"/>
    <n v="149.66492926284437"/>
    <s v="NLR&gt;=2.5"/>
    <s v="PLR&lt;150"/>
    <x v="0"/>
    <n v="1"/>
    <n v="7900"/>
    <n v="201000"/>
    <n v="71"/>
    <n v="17"/>
    <n v="1343"/>
    <n v="5609"/>
  </r>
  <r>
    <n v="24"/>
    <x v="1"/>
    <n v="66"/>
    <s v="60-69"/>
    <n v="8.1"/>
    <n v="276.42276422764229"/>
    <s v="NLR&gt;=2.5"/>
    <s v="PLR&gt;=150"/>
    <x v="0"/>
    <n v="1"/>
    <n v="12300"/>
    <n v="340000"/>
    <n v="81"/>
    <n v="10"/>
    <n v="1230"/>
    <n v="9963"/>
  </r>
  <r>
    <n v="25"/>
    <x v="1"/>
    <n v="29"/>
    <s v="20-29"/>
    <n v="1.3000000000000003"/>
    <n v="141.17291414752117"/>
    <s v="NLR&lt;2.5"/>
    <s v="PLR&lt;150"/>
    <x v="0"/>
    <n v="1"/>
    <n v="8270"/>
    <n v="467000"/>
    <n v="52"/>
    <n v="40"/>
    <n v="3308"/>
    <n v="4300.4000000000005"/>
  </r>
  <r>
    <n v="26"/>
    <x v="1"/>
    <n v="65"/>
    <s v="60-69"/>
    <n v="4.9333333333333336"/>
    <n v="184.12698412698413"/>
    <s v="NLR&gt;=2.5"/>
    <s v="PLR&gt;=150"/>
    <x v="0"/>
    <n v="1"/>
    <n v="7350"/>
    <n v="203000"/>
    <n v="74"/>
    <n v="15"/>
    <n v="1102.5"/>
    <n v="5439"/>
  </r>
  <r>
    <n v="27"/>
    <x v="0"/>
    <n v="52"/>
    <s v="50-59"/>
    <n v="9.2222222222222214"/>
    <n v="628.35249042145597"/>
    <s v="NLR&gt;=2.5"/>
    <s v="PLR&gt;=150"/>
    <x v="0"/>
    <n v="1"/>
    <n v="8700"/>
    <n v="492000"/>
    <n v="83"/>
    <n v="9"/>
    <n v="783"/>
    <n v="7221"/>
  </r>
  <r>
    <n v="28"/>
    <x v="1"/>
    <n v="56"/>
    <s v="50-59"/>
    <n v="7.0909090909090908"/>
    <n v="301.26078301260782"/>
    <s v="NLR&gt;=2.5"/>
    <s v="PLR&gt;=150"/>
    <x v="0"/>
    <n v="1"/>
    <n v="13700"/>
    <n v="454000"/>
    <n v="78"/>
    <n v="11"/>
    <n v="1507"/>
    <n v="10686"/>
  </r>
  <r>
    <n v="29"/>
    <x v="1"/>
    <n v="53"/>
    <s v="50-59"/>
    <n v="1.8539682539682538"/>
    <n v="156.8986568986569"/>
    <s v="NLR&lt;2.5"/>
    <s v="PLR&gt;=150"/>
    <x v="0"/>
    <n v="1"/>
    <n v="5200"/>
    <n v="257000"/>
    <n v="58.4"/>
    <n v="31.5"/>
    <n v="1638"/>
    <n v="3036.7999999999997"/>
  </r>
  <r>
    <n v="30"/>
    <x v="1"/>
    <n v="64"/>
    <s v="60-69"/>
    <n v="2.1428571428571428"/>
    <n v="119.93207386966674"/>
    <s v="NLR&lt;2.5"/>
    <s v="PLR&lt;150"/>
    <x v="0"/>
    <n v="1"/>
    <n v="6730"/>
    <n v="226000"/>
    <n v="60"/>
    <n v="28"/>
    <n v="1884.4"/>
    <n v="4038"/>
  </r>
  <r>
    <n v="31"/>
    <x v="0"/>
    <n v="68"/>
    <s v="60-69"/>
    <n v="1.1891891891891893"/>
    <n v="93.468468468468473"/>
    <s v="NLR&lt;2.5"/>
    <s v="PLR&lt;150"/>
    <x v="0"/>
    <n v="1"/>
    <n v="7200"/>
    <n v="249000"/>
    <n v="44"/>
    <n v="37"/>
    <n v="2664"/>
    <n v="3168"/>
  </r>
  <r>
    <n v="32"/>
    <x v="1"/>
    <n v="51"/>
    <s v="50-59"/>
    <n v="1.4705882352941178"/>
    <n v="80.147058823529406"/>
    <s v="NLR&lt;2.5"/>
    <s v="PLR&lt;150"/>
    <x v="0"/>
    <n v="1"/>
    <n v="8000"/>
    <n v="218000"/>
    <n v="50"/>
    <n v="34"/>
    <n v="2720"/>
    <n v="4000"/>
  </r>
  <r>
    <n v="33"/>
    <x v="1"/>
    <n v="44"/>
    <s v="40-49"/>
    <n v="1.696969696969697"/>
    <n v="94.604582409460463"/>
    <s v="NLR&lt;2.5"/>
    <s v="PLR&lt;150"/>
    <x v="0"/>
    <n v="1"/>
    <n v="8200"/>
    <n v="256000"/>
    <n v="56"/>
    <n v="33"/>
    <n v="2706"/>
    <n v="4592"/>
  </r>
  <r>
    <n v="34"/>
    <x v="1"/>
    <n v="56"/>
    <s v="50-59"/>
    <n v="0.18055555555555555"/>
    <n v="56.356837606837608"/>
    <s v="NLR&lt;2.5"/>
    <s v="PLR&lt;150"/>
    <x v="0"/>
    <n v="1"/>
    <n v="5200"/>
    <n v="211000"/>
    <n v="13"/>
    <n v="72"/>
    <n v="3744"/>
    <n v="676"/>
  </r>
  <r>
    <n v="35"/>
    <x v="0"/>
    <n v="66"/>
    <s v="60-69"/>
    <n v="6.583333333333333"/>
    <n v="320.83333333333331"/>
    <s v="NLR&gt;=2.5"/>
    <s v="PLR&gt;=150"/>
    <x v="0"/>
    <n v="1"/>
    <n v="8000"/>
    <n v="308000"/>
    <n v="79"/>
    <n v="12"/>
    <n v="960"/>
    <n v="6320"/>
  </r>
  <r>
    <n v="36"/>
    <x v="0"/>
    <n v="63"/>
    <s v="60-69"/>
    <n v="2.3214285714285712"/>
    <n v="110.32531824611031"/>
    <s v="NLR&lt;2.5"/>
    <s v="PLR&lt;150"/>
    <x v="0"/>
    <n v="1"/>
    <n v="10100"/>
    <n v="312000"/>
    <n v="65"/>
    <n v="28"/>
    <n v="2828.0000000000005"/>
    <n v="6565"/>
  </r>
  <r>
    <n v="37"/>
    <x v="1"/>
    <n v="68"/>
    <s v="60-69"/>
    <n v="2.8636363636363638"/>
    <n v="141.92949907235621"/>
    <s v="NLR&gt;=2.5"/>
    <s v="PLR&lt;150"/>
    <x v="0"/>
    <n v="1"/>
    <n v="4900"/>
    <n v="153000"/>
    <n v="63"/>
    <n v="22"/>
    <n v="1078"/>
    <n v="3087"/>
  </r>
  <r>
    <n v="38"/>
    <x v="1"/>
    <n v="53"/>
    <s v="50-59"/>
    <n v="4"/>
    <n v="163.10005783689994"/>
    <s v="NLR&gt;=2.5"/>
    <s v="PLR&gt;=150"/>
    <x v="0"/>
    <n v="1"/>
    <n v="9100"/>
    <n v="282000"/>
    <n v="76"/>
    <n v="19"/>
    <n v="1729"/>
    <n v="6916"/>
  </r>
  <r>
    <n v="39"/>
    <x v="1"/>
    <n v="73"/>
    <s v="70-79"/>
    <n v="1.8275862068965518"/>
    <n v="107.6421248835042"/>
    <s v="NLR&lt;2.5"/>
    <s v="PLR&lt;150"/>
    <x v="0"/>
    <n v="1"/>
    <n v="7400"/>
    <n v="231000"/>
    <n v="53"/>
    <n v="29"/>
    <n v="2146"/>
    <n v="3922"/>
  </r>
  <r>
    <n v="40"/>
    <x v="0"/>
    <n v="46"/>
    <s v="40-49"/>
    <n v="1.5555555555555558"/>
    <n v="104.32098765432099"/>
    <s v="NLR&lt;2.5"/>
    <s v="PLR&lt;150"/>
    <x v="0"/>
    <n v="1"/>
    <n v="9000"/>
    <n v="338000"/>
    <n v="56"/>
    <n v="36"/>
    <n v="3240"/>
    <n v="5040.0000000000009"/>
  </r>
  <r>
    <n v="41"/>
    <x v="0"/>
    <n v="48"/>
    <s v="40-49"/>
    <n v="2.2592592592592591"/>
    <n v="187.44354110207769"/>
    <s v="NLR&lt;2.5"/>
    <s v="PLR&gt;=150"/>
    <x v="0"/>
    <n v="1"/>
    <n v="8200"/>
    <n v="415000"/>
    <n v="61"/>
    <n v="27"/>
    <n v="2214"/>
    <n v="5002"/>
  </r>
  <r>
    <n v="42"/>
    <x v="1"/>
    <n v="50"/>
    <s v="50-59"/>
    <n v="0.91666666666666663"/>
    <n v="67.55952380952381"/>
    <s v="NLR&lt;2.5"/>
    <s v="PLR&lt;150"/>
    <x v="0"/>
    <n v="1"/>
    <n v="7000"/>
    <n v="227000"/>
    <n v="44"/>
    <n v="48"/>
    <n v="3360"/>
    <n v="3080"/>
  </r>
  <r>
    <n v="43"/>
    <x v="1"/>
    <n v="58"/>
    <s v="50-59"/>
    <n v="0.75000000000000011"/>
    <n v="59.012875536480692"/>
    <s v="NLR&lt;2.5"/>
    <s v="PLR&lt;150"/>
    <x v="0"/>
    <n v="1"/>
    <n v="6990"/>
    <n v="198000"/>
    <n v="36"/>
    <n v="48"/>
    <n v="3355.2"/>
    <n v="2516.4"/>
  </r>
  <r>
    <n v="44"/>
    <x v="1"/>
    <n v="50"/>
    <s v="50-59"/>
    <n v="5.5401459854014607"/>
    <n v="299.45723376380312"/>
    <s v="NLR&gt;=2.5"/>
    <s v="PLR&gt;=150"/>
    <x v="0"/>
    <n v="1"/>
    <n v="8970"/>
    <n v="368000"/>
    <n v="75.900000000000006"/>
    <n v="13.7"/>
    <n v="1228.8899999999999"/>
    <n v="6808.2300000000005"/>
  </r>
  <r>
    <n v="45"/>
    <x v="1"/>
    <n v="70"/>
    <s v="70-79"/>
    <n v="4.0160427807486627"/>
    <n v="216.21443190070642"/>
    <s v="NLR&gt;=2.5"/>
    <s v="PLR&gt;=150"/>
    <x v="0"/>
    <n v="1"/>
    <n v="6480"/>
    <n v="262000"/>
    <n v="75.099999999999994"/>
    <n v="18.7"/>
    <n v="1211.76"/>
    <n v="4866.4799999999996"/>
  </r>
  <r>
    <n v="46"/>
    <x v="1"/>
    <n v="60"/>
    <s v="60-69"/>
    <n v="1.9580645161290322"/>
    <n v="166.4071190211346"/>
    <s v="NLR&lt;2.5"/>
    <s v="PLR&gt;=150"/>
    <x v="0"/>
    <n v="1"/>
    <n v="7250"/>
    <n v="374000"/>
    <n v="60.7"/>
    <n v="31"/>
    <n v="2247.5"/>
    <n v="4400.75"/>
  </r>
  <r>
    <n v="47"/>
    <x v="1"/>
    <n v="57"/>
    <s v="50-59"/>
    <n v="7.4722222222222223"/>
    <n v="484.31319669183745"/>
    <s v="NLR&gt;=2.5"/>
    <s v="PLR&gt;=150"/>
    <x v="0"/>
    <n v="1"/>
    <n v="8240"/>
    <n v="431000"/>
    <n v="80.7"/>
    <n v="10.8"/>
    <n v="889.92000000000007"/>
    <n v="6649.68"/>
  </r>
  <r>
    <n v="48"/>
    <x v="1"/>
    <n v="62"/>
    <s v="60-69"/>
    <n v="4.2191011235955047"/>
    <n v="203.6796633689959"/>
    <s v="NLR&gt;=2.5"/>
    <s v="PLR&gt;=150"/>
    <x v="0"/>
    <n v="1"/>
    <n v="7530"/>
    <n v="273000"/>
    <n v="75.099999999999994"/>
    <n v="17.8"/>
    <n v="1340.3400000000001"/>
    <n v="5655.0299999999988"/>
  </r>
  <r>
    <n v="49"/>
    <x v="1"/>
    <n v="58"/>
    <s v="50-59"/>
    <n v="2.5748031496062991"/>
    <n v="205.02628864682649"/>
    <s v="NLR&gt;=2.5"/>
    <s v="PLR&gt;=150"/>
    <x v="0"/>
    <n v="1"/>
    <n v="6260"/>
    <n v="326000"/>
    <n v="65.400000000000006"/>
    <n v="25.4"/>
    <n v="1590.04"/>
    <n v="4094.04"/>
  </r>
  <r>
    <n v="50"/>
    <x v="0"/>
    <n v="36"/>
    <s v="30-39"/>
    <n v="2.0825082508250823"/>
    <n v="104.46323602317314"/>
    <s v="NLR&lt;2.5"/>
    <s v="PLR&lt;150"/>
    <x v="0"/>
    <n v="1"/>
    <n v="9320"/>
    <n v="295000"/>
    <n v="63.1"/>
    <n v="30.3"/>
    <n v="2823.96"/>
    <n v="5880.92"/>
  </r>
  <r>
    <n v="51"/>
    <x v="1"/>
    <n v="37"/>
    <s v="30-39"/>
    <n v="2.8660714285714288"/>
    <n v="326.84948979591837"/>
    <s v="NLR&gt;=2.5"/>
    <s v="PLR&gt;=150"/>
    <x v="0"/>
    <n v="1"/>
    <n v="6160"/>
    <n v="451000"/>
    <n v="64.2"/>
    <n v="22.4"/>
    <n v="1379.84"/>
    <n v="3954.7200000000003"/>
  </r>
  <r>
    <n v="52"/>
    <x v="1"/>
    <n v="75"/>
    <s v="70-79"/>
    <n v="5.1233766233766236"/>
    <n v="348.29806403410464"/>
    <s v="NLR&gt;=2.5"/>
    <s v="PLR&gt;=150"/>
    <x v="0"/>
    <n v="1"/>
    <n v="5910"/>
    <n v="317000"/>
    <n v="78.900000000000006"/>
    <n v="15.4"/>
    <n v="910.14"/>
    <n v="4662.99"/>
  </r>
  <r>
    <n v="53"/>
    <x v="1"/>
    <n v="66"/>
    <s v="60-69"/>
    <n v="3.1541850220264318"/>
    <n v="97.313037327035431"/>
    <s v="NLR&gt;=2.5"/>
    <s v="PLR&lt;150"/>
    <x v="0"/>
    <n v="1"/>
    <n v="11770"/>
    <n v="260000"/>
    <n v="71.599999999999994"/>
    <n v="22.7"/>
    <n v="2671.79"/>
    <n v="8427.32"/>
  </r>
  <r>
    <n v="54"/>
    <x v="0"/>
    <n v="63"/>
    <s v="60-69"/>
    <n v="2.8099173553719012"/>
    <n v="172.28034256323187"/>
    <s v="NLR&gt;=2.5"/>
    <s v="PLR&gt;=150"/>
    <x v="0"/>
    <n v="1"/>
    <n v="6620"/>
    <n v="276000"/>
    <n v="68"/>
    <n v="24.2"/>
    <n v="1602.04"/>
    <n v="4501.6000000000004"/>
  </r>
  <r>
    <n v="55"/>
    <x v="1"/>
    <n v="71"/>
    <s v="70-79"/>
    <n v="3.1394230769230766"/>
    <n v="322.12343770132708"/>
    <s v="NLR&gt;=2.5"/>
    <s v="PLR&gt;=150"/>
    <x v="0"/>
    <n v="1"/>
    <n v="5970"/>
    <n v="400000"/>
    <n v="65.3"/>
    <n v="20.8"/>
    <n v="1241.7600000000002"/>
    <n v="3898.4100000000003"/>
  </r>
  <r>
    <n v="56"/>
    <x v="1"/>
    <n v="70"/>
    <s v="70-79"/>
    <n v="2.3003663003663002"/>
    <n v="122.30194048375866"/>
    <s v="NLR&lt;2.5"/>
    <s v="PLR&lt;150"/>
    <x v="0"/>
    <n v="1"/>
    <n v="6050"/>
    <n v="202000"/>
    <n v="62.8"/>
    <n v="27.3"/>
    <n v="1651.65"/>
    <n v="3799.4"/>
  </r>
  <r>
    <n v="57"/>
    <x v="0"/>
    <n v="73"/>
    <s v="70-79"/>
    <n v="3.8673469387755097"/>
    <n v="232.50635299049014"/>
    <s v="NLR&gt;=2.5"/>
    <s v="PLR&gt;=150"/>
    <x v="0"/>
    <n v="1"/>
    <n v="7790"/>
    <n v="355000"/>
    <n v="75.8"/>
    <n v="19.600000000000001"/>
    <n v="1526.8400000000001"/>
    <n v="5904.82"/>
  </r>
  <r>
    <n v="58"/>
    <x v="1"/>
    <n v="59"/>
    <s v="50-59"/>
    <n v="3.401913875598086"/>
    <n v="257.74524460023713"/>
    <s v="NLR&gt;=2.5"/>
    <s v="PLR&gt;=150"/>
    <x v="0"/>
    <n v="1"/>
    <n v="10210"/>
    <n v="550000"/>
    <n v="71.099999999999994"/>
    <n v="20.9"/>
    <n v="2133.89"/>
    <n v="7259.3099999999995"/>
  </r>
  <r>
    <n v="59"/>
    <x v="1"/>
    <n v="59"/>
    <s v="50-59"/>
    <n v="1.541795665634675"/>
    <n v="100.33943824834945"/>
    <s v="NLR&lt;2.5"/>
    <s v="PLR&lt;150"/>
    <x v="0"/>
    <n v="1"/>
    <n v="8300"/>
    <n v="269000"/>
    <n v="49.8"/>
    <n v="32.299999999999997"/>
    <n v="2680.8999999999996"/>
    <n v="4133.3999999999996"/>
  </r>
  <r>
    <n v="60"/>
    <x v="0"/>
    <n v="66"/>
    <s v="60-69"/>
    <n v="1.6676217765042984"/>
    <n v="110.41069723018147"/>
    <s v="NLR&lt;2.5"/>
    <s v="PLR&lt;150"/>
    <x v="0"/>
    <n v="1"/>
    <n v="7500"/>
    <n v="289000"/>
    <n v="58.2"/>
    <n v="34.9"/>
    <n v="2617.5"/>
    <n v="4365.0000000000009"/>
  </r>
  <r>
    <n v="61"/>
    <x v="1"/>
    <n v="70"/>
    <s v="70-79"/>
    <n v="3.6368421052631574"/>
    <n v="249.49918047714442"/>
    <s v="NLR&gt;=2.5"/>
    <s v="PLR&gt;=150"/>
    <x v="0"/>
    <n v="1"/>
    <n v="8670"/>
    <n v="411000"/>
    <n v="69.099999999999994"/>
    <n v="19"/>
    <n v="1647.3"/>
    <n v="5990.9699999999993"/>
  </r>
  <r>
    <n v="62"/>
    <x v="0"/>
    <n v="51"/>
    <s v="50-59"/>
    <n v="2.3656716417910446"/>
    <n v="209.14205052622839"/>
    <s v="NLR&lt;2.5"/>
    <s v="PLR&gt;=150"/>
    <x v="0"/>
    <n v="1"/>
    <n v="7190"/>
    <n v="403000"/>
    <n v="63.4"/>
    <n v="26.8"/>
    <n v="1926.92"/>
    <n v="4558.46"/>
  </r>
  <r>
    <n v="63"/>
    <x v="1"/>
    <n v="55"/>
    <s v="50-59"/>
    <n v="2.1282051282051277"/>
    <n v="142.20422075406967"/>
    <s v="NLR&lt;2.5"/>
    <s v="PLR&lt;150"/>
    <x v="0"/>
    <n v="1"/>
    <n v="6620"/>
    <n v="257000"/>
    <n v="58.1"/>
    <n v="27.3"/>
    <n v="1807.2600000000002"/>
    <n v="3846.22"/>
  </r>
  <r>
    <n v="64"/>
    <x v="1"/>
    <n v="54"/>
    <s v="50-59"/>
    <n v="1.0595238095238095"/>
    <n v="128.55332246967228"/>
    <s v="NLR&lt;2.5"/>
    <s v="PLR&lt;150"/>
    <x v="0"/>
    <n v="1"/>
    <n v="5260"/>
    <n v="284000"/>
    <n v="44.5"/>
    <n v="42"/>
    <n v="2209.1999999999998"/>
    <n v="2340.6999999999998"/>
  </r>
  <r>
    <n v="65"/>
    <x v="1"/>
    <n v="25"/>
    <s v="20-29"/>
    <n v="2.1458333333333335"/>
    <n v="110.57019218531245"/>
    <s v="NLR&lt;2.5"/>
    <s v="PLR&lt;150"/>
    <x v="0"/>
    <n v="1"/>
    <n v="8730"/>
    <n v="278000"/>
    <n v="61.8"/>
    <n v="28.8"/>
    <n v="2514.2400000000002"/>
    <n v="5395.14"/>
  </r>
  <r>
    <n v="66"/>
    <x v="0"/>
    <n v="63"/>
    <s v="60-69"/>
    <n v="2.5095057034220529"/>
    <n v="175.03503657404394"/>
    <s v="NLR&gt;=2.5"/>
    <s v="PLR&gt;=150"/>
    <x v="0"/>
    <n v="1"/>
    <n v="6430"/>
    <n v="296000"/>
    <n v="66"/>
    <n v="26.3"/>
    <n v="1691.0900000000001"/>
    <n v="4243.8"/>
  </r>
  <r>
    <n v="67"/>
    <x v="1"/>
    <n v="46"/>
    <s v="40-49"/>
    <n v="8.704081632653061"/>
    <n v="203.84321953080297"/>
    <s v="NLR&gt;=2.5"/>
    <s v="PLR&gt;=150"/>
    <x v="0"/>
    <n v="1"/>
    <n v="8560"/>
    <n v="171000"/>
    <n v="85.3"/>
    <n v="9.8000000000000007"/>
    <n v="838.88"/>
    <n v="7301.6799999999994"/>
  </r>
  <r>
    <n v="68"/>
    <x v="0"/>
    <n v="52"/>
    <s v="50-59"/>
    <n v="5.5319148936170217"/>
    <n v="374.52398420850369"/>
    <s v="NLR&gt;=2.5"/>
    <s v="PLR&gt;=150"/>
    <x v="0"/>
    <n v="1"/>
    <n v="10150"/>
    <n v="536000"/>
    <n v="78"/>
    <n v="14.1"/>
    <n v="1431.1499999999999"/>
    <n v="7917"/>
  </r>
  <r>
    <n v="69"/>
    <x v="0"/>
    <n v="72"/>
    <s v="70-79"/>
    <n v="2.9237668161434978"/>
    <n v="207.36079757295934"/>
    <s v="NLR&gt;=2.5"/>
    <s v="PLR&gt;=150"/>
    <x v="0"/>
    <n v="1"/>
    <n v="8780"/>
    <n v="406000"/>
    <n v="65.2"/>
    <n v="22.3"/>
    <n v="1957.94"/>
    <n v="5724.56"/>
  </r>
  <r>
    <n v="70"/>
    <x v="1"/>
    <n v="71"/>
    <s v="70-79"/>
    <n v="12.426470588235293"/>
    <n v="456.38945233265719"/>
    <s v="NLR&gt;=2.5"/>
    <s v="PLR&gt;=150"/>
    <x v="0"/>
    <n v="1"/>
    <n v="9570"/>
    <n v="297000"/>
    <n v="84.5"/>
    <n v="6.8"/>
    <n v="650.76"/>
    <n v="8086.65"/>
  </r>
  <r>
    <n v="71"/>
    <x v="1"/>
    <n v="68"/>
    <s v="60-69"/>
    <n v="6.7355371900826446"/>
    <n v="198.00275482093664"/>
    <s v="NLR&gt;=2.5"/>
    <s v="PLR&gt;=150"/>
    <x v="0"/>
    <n v="1"/>
    <n v="9600"/>
    <n v="230000"/>
    <n v="81.5"/>
    <n v="12.1"/>
    <n v="1161.5999999999999"/>
    <n v="7823.9999999999991"/>
  </r>
  <r>
    <n v="72"/>
    <x v="0"/>
    <n v="20"/>
    <s v="20-29"/>
    <n v="4.4999999999999991"/>
    <n v="121.94059750892778"/>
    <s v="NLR&gt;=2.5"/>
    <s v="PLR&lt;150"/>
    <x v="0"/>
    <n v="1"/>
    <n v="5160"/>
    <n v="112000"/>
    <n v="80.099999999999994"/>
    <n v="17.8"/>
    <n v="918.48000000000013"/>
    <n v="4133.16"/>
  </r>
  <r>
    <n v="73"/>
    <x v="0"/>
    <n v="53"/>
    <s v="50-59"/>
    <n v="12.19718309859155"/>
    <n v="418.15739021481517"/>
    <s v="NLR&gt;=2.5"/>
    <s v="PLR&gt;=150"/>
    <x v="0"/>
    <n v="1"/>
    <n v="9330"/>
    <n v="277000"/>
    <n v="86.6"/>
    <n v="7.1"/>
    <n v="662.43"/>
    <n v="8079.78"/>
  </r>
  <r>
    <n v="74"/>
    <x v="0"/>
    <n v="64"/>
    <s v="60-69"/>
    <n v="3.4952380952380961"/>
    <n v="178.75763444063759"/>
    <s v="NLR&gt;=2.5"/>
    <s v="PLR&gt;=150"/>
    <x v="0"/>
    <n v="1"/>
    <n v="9590"/>
    <n v="360000"/>
    <n v="73.400000000000006"/>
    <n v="21"/>
    <n v="2013.8999999999999"/>
    <n v="7039.0600000000013"/>
  </r>
  <r>
    <n v="75"/>
    <x v="1"/>
    <n v="51"/>
    <s v="50-59"/>
    <n v="2.6294820717131473"/>
    <n v="107.45196553686732"/>
    <s v="NLR&gt;=2.5"/>
    <s v="PLR&lt;150"/>
    <x v="0"/>
    <n v="1"/>
    <n v="8119.9999999999991"/>
    <n v="219000"/>
    <n v="66"/>
    <n v="25.1"/>
    <n v="2038.12"/>
    <n v="5359.2"/>
  </r>
  <r>
    <n v="76"/>
    <x v="0"/>
    <n v="27"/>
    <s v="20-29"/>
    <n v="12.142857142857142"/>
    <n v="178.21212992239148"/>
    <s v="NLR&gt;=2.5"/>
    <s v="PLR&gt;=150"/>
    <x v="0"/>
    <n v="1"/>
    <n v="9940"/>
    <n v="124000"/>
    <n v="85"/>
    <n v="7"/>
    <n v="695.80000000000007"/>
    <n v="8449"/>
  </r>
  <r>
    <n v="77"/>
    <x v="0"/>
    <n v="65"/>
    <s v="60-69"/>
    <n v="0.87943262411347534"/>
    <n v="68.76661432193039"/>
    <s v="NLR&lt;2.5"/>
    <s v="PLR&lt;150"/>
    <x v="0"/>
    <n v="1"/>
    <n v="6910"/>
    <n v="201000"/>
    <n v="37.200000000000003"/>
    <n v="42.3"/>
    <n v="2922.93"/>
    <n v="2570.5200000000004"/>
  </r>
  <r>
    <n v="78"/>
    <x v="0"/>
    <n v="53"/>
    <s v="50-59"/>
    <n v="9.4725274725274726"/>
    <n v="230.0309351947331"/>
    <s v="NLR&gt;=2.5"/>
    <s v="PLR&gt;=150"/>
    <x v="0"/>
    <n v="1"/>
    <n v="18010"/>
    <n v="377000"/>
    <n v="86.2"/>
    <n v="9.1"/>
    <n v="1638.9099999999999"/>
    <n v="15524.619999999999"/>
  </r>
  <r>
    <n v="79"/>
    <x v="1"/>
    <n v="47"/>
    <s v="40-49"/>
    <n v="2.7302904564315345"/>
    <n v="170.59264912426966"/>
    <s v="NLR&gt;=2.5"/>
    <s v="PLR&gt;=150"/>
    <x v="0"/>
    <n v="1"/>
    <n v="6470"/>
    <n v="266000"/>
    <n v="65.8"/>
    <n v="24.1"/>
    <n v="1559.2700000000002"/>
    <n v="4257.2599999999993"/>
  </r>
  <r>
    <n v="80"/>
    <x v="0"/>
    <n v="32"/>
    <s v="30-39"/>
    <n v="2.6270185112248918"/>
    <n v="210.05645267165551"/>
    <s v="NLR&gt;=2.5"/>
    <s v="PLR&gt;=150"/>
    <x v="0"/>
    <n v="1"/>
    <n v="7800"/>
    <n v="416000"/>
    <n v="66.7"/>
    <n v="25.39"/>
    <n v="1980.42"/>
    <n v="5202.6000000000004"/>
  </r>
  <r>
    <n v="81"/>
    <x v="0"/>
    <n v="72"/>
    <s v="70-79"/>
    <n v="1.3814814814814813"/>
    <n v="145.0317631547405"/>
    <s v="NLR&lt;2.5"/>
    <s v="PLR&lt;150"/>
    <x v="0"/>
    <n v="1"/>
    <n v="6180"/>
    <n v="242000"/>
    <n v="37.299999999999997"/>
    <n v="27"/>
    <n v="1668.6000000000001"/>
    <n v="2305.14"/>
  </r>
  <r>
    <n v="82"/>
    <x v="1"/>
    <n v="72"/>
    <s v="70-79"/>
    <n v="2.120754716981132"/>
    <n v="448.91484119215579"/>
    <s v="NLR&lt;2.5"/>
    <s v="PLR&gt;=150"/>
    <x v="0"/>
    <n v="1"/>
    <n v="5590"/>
    <n v="665000"/>
    <n v="56.2"/>
    <n v="26.5"/>
    <n v="1481.3500000000001"/>
    <n v="3141.5800000000004"/>
  </r>
  <r>
    <n v="83"/>
    <x v="1"/>
    <n v="58"/>
    <s v="50-59"/>
    <n v="5.9202898550724639"/>
    <n v="145.46630030709551"/>
    <s v="NLR&gt;=2.5"/>
    <s v="PLR&lt;150"/>
    <x v="0"/>
    <n v="1"/>
    <n v="13450"/>
    <n v="270000"/>
    <n v="81.7"/>
    <n v="13.8"/>
    <n v="1856.1000000000001"/>
    <n v="10988.650000000001"/>
  </r>
  <r>
    <n v="84"/>
    <x v="1"/>
    <n v="71"/>
    <s v="70-79"/>
    <n v="15.910714285714286"/>
    <n v="208.59326263256398"/>
    <s v="NLR&gt;=2.5"/>
    <s v="PLR&gt;=150"/>
    <x v="0"/>
    <n v="1"/>
    <n v="9160"/>
    <n v="107000"/>
    <n v="89.1"/>
    <n v="5.6"/>
    <n v="512.95999999999992"/>
    <n v="8161.5599999999995"/>
  </r>
  <r>
    <n v="85"/>
    <x v="0"/>
    <n v="71"/>
    <s v="70-79"/>
    <n v="5.114649681528662"/>
    <n v="235.50821602526358"/>
    <s v="NLR&gt;=2.5"/>
    <s v="PLR&gt;=150"/>
    <x v="0"/>
    <n v="1"/>
    <n v="9520"/>
    <n v="352000"/>
    <n v="80.3"/>
    <n v="15.7"/>
    <n v="1494.64"/>
    <n v="7644.5599999999995"/>
  </r>
  <r>
    <n v="86"/>
    <x v="1"/>
    <n v="63"/>
    <s v="60-69"/>
    <n v="2.0676691729323307"/>
    <n v="88.811478236876596"/>
    <s v="NLR&lt;2.5"/>
    <s v="PLR&lt;150"/>
    <x v="0"/>
    <n v="1"/>
    <n v="4360"/>
    <n v="103000"/>
    <n v="55"/>
    <n v="26.6"/>
    <n v="1159.76"/>
    <n v="2398"/>
  </r>
  <r>
    <n v="87"/>
    <x v="1"/>
    <n v="55"/>
    <s v="50-59"/>
    <n v="1.2322946175637395"/>
    <n v="140.18782257751562"/>
    <s v="NLR&lt;2.5"/>
    <s v="PLR&lt;150"/>
    <x v="0"/>
    <n v="1"/>
    <n v="5840"/>
    <n v="289000"/>
    <n v="43.5"/>
    <n v="35.299999999999997"/>
    <n v="2061.52"/>
    <n v="2540.4"/>
  </r>
  <r>
    <n v="88"/>
    <x v="0"/>
    <n v="64"/>
    <s v="60-69"/>
    <n v="18.411764705882355"/>
    <n v="359.53260761010688"/>
    <s v="NLR&gt;=2.5"/>
    <s v="PLR&gt;=150"/>
    <x v="0"/>
    <n v="1"/>
    <n v="17670"/>
    <n v="324000"/>
    <n v="93.9"/>
    <n v="5.0999999999999996"/>
    <n v="901.17"/>
    <n v="16592.13"/>
  </r>
  <r>
    <n v="89"/>
    <x v="1"/>
    <n v="61"/>
    <s v="60-69"/>
    <n v="3.4975845410628024"/>
    <n v="164.98040288032087"/>
    <s v="NLR&gt;=2.5"/>
    <s v="PLR&gt;=150"/>
    <x v="0"/>
    <n v="1"/>
    <n v="10600"/>
    <n v="362000"/>
    <n v="72.400000000000006"/>
    <n v="20.7"/>
    <n v="2194.1999999999998"/>
    <n v="7674.4000000000005"/>
  </r>
  <r>
    <n v="90"/>
    <x v="0"/>
    <n v="47"/>
    <s v="40-49"/>
    <n v="5.5664335664335658"/>
    <n v="101.48488409357974"/>
    <s v="NLR&gt;=2.5"/>
    <s v="PLR&lt;150"/>
    <x v="0"/>
    <n v="1"/>
    <n v="17020"/>
    <n v="247000"/>
    <n v="79.599999999999994"/>
    <n v="14.3"/>
    <n v="2433.86"/>
    <n v="13547.919999999998"/>
  </r>
  <r>
    <n v="91"/>
    <x v="0"/>
    <n v="42"/>
    <s v="40-49"/>
    <n v="18.82"/>
    <n v="176.10474631751228"/>
    <s v="NLR&gt;=2.5"/>
    <s v="PLR&gt;=150"/>
    <x v="0"/>
    <n v="1"/>
    <n v="30550"/>
    <n v="269000"/>
    <n v="94.1"/>
    <n v="5"/>
    <n v="1527.5"/>
    <n v="28747.55"/>
  </r>
  <r>
    <n v="92"/>
    <x v="1"/>
    <n v="42"/>
    <s v="40-49"/>
    <n v="6.4715447154471537"/>
    <n v="180.21338903565356"/>
    <s v="NLR&gt;=2.5"/>
    <s v="PLR&gt;=150"/>
    <x v="0"/>
    <n v="1"/>
    <n v="11910"/>
    <n v="264000"/>
    <n v="79.599999999999994"/>
    <n v="12.3"/>
    <n v="1464.93"/>
    <n v="9480.3599999999988"/>
  </r>
  <r>
    <n v="93"/>
    <x v="0"/>
    <n v="43"/>
    <s v="40-49"/>
    <n v="25.05263157894737"/>
    <n v="516.11587107303137"/>
    <s v="NLR&gt;=2.5"/>
    <s v="PLR&gt;=150"/>
    <x v="0"/>
    <n v="1"/>
    <n v="12900"/>
    <n v="253000"/>
    <n v="95.2"/>
    <n v="3.8"/>
    <n v="490.2"/>
    <n v="12280.800000000001"/>
  </r>
  <r>
    <n v="94"/>
    <x v="1"/>
    <n v="49"/>
    <s v="40-49"/>
    <n v="2.9563318777292578"/>
    <n v="118.85207590507861"/>
    <s v="NLR&gt;=2.5"/>
    <s v="PLR&lt;150"/>
    <x v="0"/>
    <n v="1"/>
    <n v="6540"/>
    <n v="178000"/>
    <n v="67.7"/>
    <n v="22.9"/>
    <n v="1497.6599999999999"/>
    <n v="4427.58"/>
  </r>
  <r>
    <n v="95"/>
    <x v="1"/>
    <n v="74"/>
    <s v="70-79"/>
    <n v="9.705882352941174"/>
    <n v="306.37254901960779"/>
    <s v="NLR&gt;=2.5"/>
    <s v="PLR&gt;=150"/>
    <x v="0"/>
    <n v="1"/>
    <n v="12480"/>
    <n v="325000"/>
    <n v="82.5"/>
    <n v="8.5"/>
    <n v="1060.8000000000002"/>
    <n v="10296"/>
  </r>
  <r>
    <n v="96"/>
    <x v="0"/>
    <n v="40"/>
    <s v="40-49"/>
    <n v="14.390624999999998"/>
    <n v="368.40478153338825"/>
    <s v="NLR&gt;=2.5"/>
    <s v="PLR&gt;=150"/>
    <x v="0"/>
    <n v="1"/>
    <n v="12130"/>
    <n v="286000"/>
    <n v="92.1"/>
    <n v="6.4"/>
    <n v="776.32"/>
    <n v="11171.73"/>
  </r>
  <r>
    <n v="97"/>
    <x v="1"/>
    <n v="56"/>
    <s v="50-59"/>
    <n v="1.6906249999999998"/>
    <n v="112.45479204339964"/>
    <s v="NLR&lt;2.5"/>
    <s v="PLR&lt;150"/>
    <x v="0"/>
    <n v="1"/>
    <n v="5530"/>
    <n v="199000"/>
    <n v="54.1"/>
    <n v="32"/>
    <n v="1769.6000000000001"/>
    <n v="2991.73"/>
  </r>
  <r>
    <n v="98"/>
    <x v="0"/>
    <n v="62"/>
    <s v="60-69"/>
    <n v="18.490196078431371"/>
    <n v="235.89898684409499"/>
    <s v="NLR&gt;=2.5"/>
    <s v="PLR&gt;=150"/>
    <x v="0"/>
    <n v="1"/>
    <n v="19450"/>
    <n v="234000"/>
    <n v="94.3"/>
    <n v="5.0999999999999996"/>
    <n v="991.94999999999993"/>
    <n v="18341.349999999999"/>
  </r>
  <r>
    <n v="99"/>
    <x v="0"/>
    <n v="51"/>
    <s v="50-59"/>
    <n v="5.8550724637681144"/>
    <n v="135.65375242943537"/>
    <s v="NLR&gt;=2.5"/>
    <s v="PLR&lt;150"/>
    <x v="0"/>
    <n v="1"/>
    <n v="14690"/>
    <n v="275000"/>
    <n v="80.8"/>
    <n v="13.8"/>
    <n v="2027.2200000000003"/>
    <n v="11869.519999999999"/>
  </r>
  <r>
    <n v="100"/>
    <x v="1"/>
    <n v="70"/>
    <s v="70-79"/>
    <n v="13.661290322580646"/>
    <n v="372.86029037907463"/>
    <s v="NLR&gt;=2.5"/>
    <s v="PLR&gt;=150"/>
    <x v="0"/>
    <n v="1"/>
    <n v="11420"/>
    <n v="264000"/>
    <n v="84.7"/>
    <n v="6.2"/>
    <n v="708.04"/>
    <n v="9672.74"/>
  </r>
  <r>
    <n v="101"/>
    <x v="1"/>
    <n v="76"/>
    <s v="70-79"/>
    <n v="12.681159420289854"/>
    <n v="250.18005382661761"/>
    <s v="NLR&gt;=2.5"/>
    <s v="PLR&gt;=150"/>
    <x v="0"/>
    <n v="1"/>
    <n v="11470"/>
    <n v="198000"/>
    <n v="87.5"/>
    <n v="6.9"/>
    <n v="791.43000000000006"/>
    <n v="10036.25"/>
  </r>
  <r>
    <n v="102"/>
    <x v="1"/>
    <n v="40"/>
    <s v="40-49"/>
    <n v="3.7450000000000006"/>
    <n v="71.927374301675982"/>
    <s v="NLR&gt;=2.5"/>
    <s v="PLR&lt;150"/>
    <x v="0"/>
    <n v="1"/>
    <n v="14320"/>
    <n v="206000"/>
    <n v="74.900000000000006"/>
    <n v="20"/>
    <n v="2864"/>
    <n v="10725.680000000002"/>
  </r>
  <r>
    <n v="103"/>
    <x v="1"/>
    <n v="69"/>
    <s v="60-69"/>
    <n v="6.5691056910569099"/>
    <n v="377.57139137227665"/>
    <s v="NLR&gt;=2.5"/>
    <s v="PLR&gt;=150"/>
    <x v="0"/>
    <n v="1"/>
    <n v="11240"/>
    <n v="522000"/>
    <n v="80.8"/>
    <n v="12.3"/>
    <n v="1382.5200000000002"/>
    <n v="9081.92"/>
  </r>
  <r>
    <n v="104"/>
    <x v="0"/>
    <n v="44"/>
    <s v="40-49"/>
    <n v="21.906976744186046"/>
    <n v="481.09071996433613"/>
    <s v="NLR&gt;=2.5"/>
    <s v="PLR&gt;=150"/>
    <x v="0"/>
    <n v="1"/>
    <n v="12520"/>
    <n v="259000"/>
    <n v="94.2"/>
    <n v="4.3"/>
    <n v="538.36"/>
    <n v="11793.84"/>
  </r>
  <r>
    <n v="105"/>
    <x v="1"/>
    <n v="67"/>
    <s v="60-69"/>
    <n v="5.0063694267515917"/>
    <n v="86.855819339895774"/>
    <s v="NLR&gt;=2.5"/>
    <s v="PLR&lt;150"/>
    <x v="0"/>
    <n v="1"/>
    <n v="11880"/>
    <n v="162000"/>
    <n v="78.599999999999994"/>
    <n v="15.7"/>
    <n v="1865.16"/>
    <n v="9337.6799999999985"/>
  </r>
  <r>
    <n v="106"/>
    <x v="1"/>
    <n v="69"/>
    <s v="60-69"/>
    <n v="27.47058823529412"/>
    <n v="614.25061425061415"/>
    <s v="NLR&gt;=2.5"/>
    <s v="PLR&gt;=150"/>
    <x v="0"/>
    <n v="1"/>
    <n v="12210"/>
    <n v="255000"/>
    <n v="93.4"/>
    <n v="3.4"/>
    <n v="415.14000000000004"/>
    <n v="11404.140000000001"/>
  </r>
  <r>
    <n v="107"/>
    <x v="1"/>
    <n v="54"/>
    <s v="50-59"/>
    <n v="2.8068669527896994"/>
    <n v="147.58305616294905"/>
    <s v="NLR&gt;=2.5"/>
    <s v="PLR&lt;150"/>
    <x v="0"/>
    <n v="1"/>
    <n v="7910"/>
    <n v="272000"/>
    <n v="65.400000000000006"/>
    <n v="23.3"/>
    <n v="1843.0300000000002"/>
    <n v="5173.1400000000003"/>
  </r>
  <r>
    <n v="108"/>
    <x v="1"/>
    <n v="76"/>
    <s v="70-79"/>
    <n v="10.000000000000002"/>
    <n v="349.31419048839899"/>
    <s v="NLR&gt;=2.5"/>
    <s v="PLR&gt;=150"/>
    <x v="0"/>
    <n v="1"/>
    <n v="10760"/>
    <n v="327000"/>
    <n v="87"/>
    <n v="8.6999999999999993"/>
    <n v="936.11999999999989"/>
    <n v="9361.2000000000007"/>
  </r>
  <r>
    <n v="109"/>
    <x v="1"/>
    <n v="66"/>
    <s v="60-69"/>
    <n v="12.714285714285714"/>
    <n v="139.01212658976632"/>
    <s v="NLR&gt;=2.5"/>
    <s v="PLR&lt;150"/>
    <x v="0"/>
    <n v="1"/>
    <n v="14490"/>
    <n v="141000"/>
    <n v="89"/>
    <n v="7"/>
    <n v="1014.3000000000001"/>
    <n v="12896.1"/>
  </r>
  <r>
    <n v="110"/>
    <x v="0"/>
    <n v="87"/>
    <s v="80-89"/>
    <n v="2.9259259259259256"/>
    <n v="287.18011609843836"/>
    <s v="NLR&gt;=2.5"/>
    <s v="PLR&gt;=150"/>
    <x v="0"/>
    <n v="1"/>
    <n v="4530"/>
    <n v="281000"/>
    <n v="63.2"/>
    <n v="21.6"/>
    <n v="978.48000000000013"/>
    <n v="2862.96"/>
  </r>
  <r>
    <n v="111"/>
    <x v="0"/>
    <n v="46"/>
    <s v="40-49"/>
    <n v="2.7408906882591095"/>
    <n v="108.45432710052184"/>
    <s v="NLR&gt;=2.5"/>
    <s v="PLR&lt;150"/>
    <x v="0"/>
    <n v="1"/>
    <n v="7130"/>
    <n v="191000"/>
    <n v="67.7"/>
    <n v="24.7"/>
    <n v="1761.11"/>
    <n v="4827.01"/>
  </r>
  <r>
    <n v="112"/>
    <x v="0"/>
    <n v="75"/>
    <s v="70-79"/>
    <n v="2.8272727272727272"/>
    <n v="119.09795630725863"/>
    <s v="NLR&gt;=2.5"/>
    <s v="PLR&lt;150"/>
    <x v="0"/>
    <n v="1"/>
    <n v="6450"/>
    <n v="169000"/>
    <n v="62.2"/>
    <n v="22"/>
    <n v="1419"/>
    <n v="4011.9"/>
  </r>
  <r>
    <n v="113"/>
    <x v="1"/>
    <n v="58"/>
    <s v="50-59"/>
    <n v="31.333333333333336"/>
    <n v="423.5145385587864"/>
    <s v="NLR&gt;=2.5"/>
    <s v="PLR&gt;=150"/>
    <x v="0"/>
    <n v="1"/>
    <n v="15820"/>
    <n v="201000"/>
    <n v="94"/>
    <n v="3"/>
    <n v="474.59999999999997"/>
    <n v="14870.8"/>
  </r>
  <r>
    <n v="114"/>
    <x v="1"/>
    <n v="55"/>
    <s v="50-59"/>
    <n v="7.045454545454545"/>
    <n v="304.60858585858585"/>
    <s v="NLR&gt;=2.5"/>
    <s v="PLR&gt;=150"/>
    <x v="0"/>
    <n v="1"/>
    <n v="11520"/>
    <n v="386000"/>
    <n v="77.5"/>
    <n v="11"/>
    <n v="1267.2"/>
    <n v="8928"/>
  </r>
  <r>
    <n v="115"/>
    <x v="1"/>
    <n v="49"/>
    <s v="40-49"/>
    <n v="3.6853932584269651"/>
    <n v="176.27048757860013"/>
    <s v="NLR&gt;=2.5"/>
    <s v="PLR&gt;=150"/>
    <x v="0"/>
    <n v="1"/>
    <n v="5450"/>
    <n v="171000"/>
    <n v="65.599999999999994"/>
    <n v="17.8"/>
    <n v="970.10000000000014"/>
    <n v="3575.1999999999994"/>
  </r>
  <r>
    <n v="116"/>
    <x v="1"/>
    <n v="74"/>
    <s v="70-79"/>
    <n v="1.2206235011990405"/>
    <n v="73.645498188781019"/>
    <s v="NLR&lt;2.5"/>
    <s v="PLR&lt;150"/>
    <x v="1"/>
    <n v="2"/>
    <n v="5210"/>
    <n v="160000"/>
    <n v="50.9"/>
    <n v="41.7"/>
    <n v="2172.5700000000002"/>
    <n v="2651.89"/>
  </r>
  <r>
    <n v="117"/>
    <x v="1"/>
    <n v="61"/>
    <s v="60-69"/>
    <n v="1.7278106508875737"/>
    <n v="83.996463306808138"/>
    <s v="NLR&lt;2.5"/>
    <s v="PLR&lt;150"/>
    <x v="1"/>
    <n v="2"/>
    <n v="8700"/>
    <n v="247000"/>
    <n v="58.4"/>
    <n v="33.799999999999997"/>
    <n v="2940.6"/>
    <n v="5080.7999999999993"/>
  </r>
  <r>
    <n v="118"/>
    <x v="0"/>
    <n v="75"/>
    <s v="70-79"/>
    <n v="2.2245614035087722"/>
    <n v="177.04077545461828"/>
    <s v="NLR&lt;2.5"/>
    <s v="PLR&gt;=150"/>
    <x v="1"/>
    <n v="2"/>
    <n v="8760"/>
    <n v="442000"/>
    <n v="63.4"/>
    <n v="28.5"/>
    <n v="2496.6"/>
    <n v="5553.84"/>
  </r>
  <r>
    <n v="119"/>
    <x v="0"/>
    <n v="81"/>
    <s v="80-89"/>
    <n v="4.5649350649350655"/>
    <n v="256.16585249612774"/>
    <s v="NLR&gt;=2.5"/>
    <s v="PLR&gt;=150"/>
    <x v="1"/>
    <n v="2"/>
    <n v="5450"/>
    <n v="215000"/>
    <n v="70.3"/>
    <n v="15.4"/>
    <n v="839.3"/>
    <n v="3831.35"/>
  </r>
  <r>
    <n v="120"/>
    <x v="1"/>
    <n v="77"/>
    <s v="70-79"/>
    <n v="10.421686746987952"/>
    <n v="776.12035443360742"/>
    <s v="NLR&gt;=2.5"/>
    <s v="PLR&gt;=150"/>
    <x v="1"/>
    <n v="2"/>
    <n v="7560"/>
    <n v="487000"/>
    <n v="86.5"/>
    <n v="8.3000000000000007"/>
    <n v="627.48"/>
    <n v="6539.4"/>
  </r>
  <r>
    <n v="121"/>
    <x v="1"/>
    <n v="53"/>
    <s v="50-59"/>
    <n v="2.2031872509960158"/>
    <n v="164.19676940772476"/>
    <s v="NLR&lt;2.5"/>
    <s v="PLR&gt;=150"/>
    <x v="1"/>
    <n v="2"/>
    <n v="4780"/>
    <n v="197000"/>
    <n v="55.3"/>
    <n v="25.1"/>
    <n v="1199.78"/>
    <n v="2643.3399999999997"/>
  </r>
  <r>
    <n v="122"/>
    <x v="1"/>
    <n v="70"/>
    <s v="70-79"/>
    <n v="6.0592592592592585"/>
    <n v="297.28725380899289"/>
    <s v="NLR&gt;=2.5"/>
    <s v="PLR&gt;=150"/>
    <x v="1"/>
    <n v="2"/>
    <n v="5980"/>
    <n v="240000"/>
    <n v="81.8"/>
    <n v="13.5"/>
    <n v="807.30000000000007"/>
    <n v="4891.6399999999994"/>
  </r>
  <r>
    <n v="123"/>
    <x v="1"/>
    <n v="68"/>
    <s v="60-69"/>
    <n v="4.4640522875816995"/>
    <n v="399.80124603447621"/>
    <s v="NLR&gt;=2.5"/>
    <s v="PLR&gt;=150"/>
    <x v="1"/>
    <n v="2"/>
    <n v="8550"/>
    <n v="523000"/>
    <n v="68.3"/>
    <n v="15.3"/>
    <n v="1308.1499999999999"/>
    <n v="5839.65"/>
  </r>
  <r>
    <n v="124"/>
    <x v="1"/>
    <n v="76"/>
    <s v="70-79"/>
    <n v="3.8421052631578947"/>
    <n v="176.26280466266337"/>
    <s v="NLR&gt;=2.5"/>
    <s v="PLR&gt;=150"/>
    <x v="1"/>
    <n v="2"/>
    <n v="14900"/>
    <n v="499000"/>
    <n v="73"/>
    <n v="19"/>
    <n v="2831"/>
    <n v="10877"/>
  </r>
  <r>
    <n v="125"/>
    <x v="0"/>
    <n v="72"/>
    <s v="70-79"/>
    <n v="3.3732718894009213"/>
    <n v="165.72950577093815"/>
    <s v="NLR&gt;=2.5"/>
    <s v="PLR&gt;=150"/>
    <x v="1"/>
    <n v="2"/>
    <n v="5450"/>
    <n v="196000"/>
    <n v="73.2"/>
    <n v="21.7"/>
    <n v="1182.6500000000001"/>
    <n v="3989.4"/>
  </r>
  <r>
    <n v="126"/>
    <x v="1"/>
    <n v="46"/>
    <s v="40-49"/>
    <n v="1.4685714285714289"/>
    <n v="82.758620689655189"/>
    <s v="NLR&lt;2.5"/>
    <s v="PLR&lt;150"/>
    <x v="1"/>
    <n v="2"/>
    <n v="5800"/>
    <n v="168000"/>
    <n v="51.4"/>
    <n v="35"/>
    <n v="2029.9999999999998"/>
    <n v="2981.2000000000003"/>
  </r>
  <r>
    <n v="127"/>
    <x v="1"/>
    <n v="79"/>
    <s v="70-79"/>
    <n v="3.4064171122994655"/>
    <n v="103.42044193320554"/>
    <s v="NLR&gt;=2.5"/>
    <s v="PLR&lt;150"/>
    <x v="1"/>
    <n v="2"/>
    <n v="6360"/>
    <n v="123000"/>
    <n v="63.7"/>
    <n v="18.7"/>
    <n v="1189.32"/>
    <n v="4051.32"/>
  </r>
  <r>
    <n v="128"/>
    <x v="1"/>
    <n v="65"/>
    <s v="60-69"/>
    <n v="3.5990099009900991"/>
    <n v="253.26543568408684"/>
    <s v="NLR&gt;=2.5"/>
    <s v="PLR&gt;=150"/>
    <x v="1"/>
    <n v="2"/>
    <n v="7330"/>
    <n v="375000"/>
    <n v="72.7"/>
    <n v="20.2"/>
    <n v="1480.6599999999999"/>
    <n v="5328.91"/>
  </r>
  <r>
    <n v="129"/>
    <x v="1"/>
    <n v="65"/>
    <s v="60-69"/>
    <n v="1.7596153846153844"/>
    <n v="99.544937428896475"/>
    <s v="NLR&lt;2.5"/>
    <s v="PLR&lt;150"/>
    <x v="1"/>
    <n v="2"/>
    <n v="8790"/>
    <n v="273000"/>
    <n v="54.9"/>
    <n v="31.2"/>
    <n v="2742.48"/>
    <n v="4825.7099999999991"/>
  </r>
  <r>
    <n v="130"/>
    <x v="0"/>
    <n v="46"/>
    <s v="40-49"/>
    <n v="4.5370370370370372"/>
    <n v="253.88945669278567"/>
    <s v="NLR&gt;=2.5"/>
    <s v="PLR&gt;=150"/>
    <x v="1"/>
    <n v="2"/>
    <n v="7610"/>
    <n v="313000"/>
    <n v="73.5"/>
    <n v="16.2"/>
    <n v="1232.82"/>
    <n v="5593.3499999999995"/>
  </r>
  <r>
    <n v="131"/>
    <x v="0"/>
    <n v="64"/>
    <s v="60-69"/>
    <n v="1.3228346456692912"/>
    <n v="105.05531658607863"/>
    <s v="NLR&lt;2.5"/>
    <s v="PLR&lt;150"/>
    <x v="1"/>
    <n v="2"/>
    <n v="7670"/>
    <n v="307000"/>
    <n v="50.4"/>
    <n v="38.1"/>
    <n v="2922.27"/>
    <n v="3865.68"/>
  </r>
  <r>
    <n v="132"/>
    <x v="1"/>
    <n v="81"/>
    <s v="80-89"/>
    <n v="4.3101265822784809"/>
    <n v="163.58325219084713"/>
    <s v="NLR&gt;=2.5"/>
    <s v="PLR&gt;=150"/>
    <x v="1"/>
    <n v="2"/>
    <n v="6500"/>
    <n v="168000"/>
    <n v="68.099999999999994"/>
    <n v="15.8"/>
    <n v="1027"/>
    <n v="4426.5"/>
  </r>
  <r>
    <n v="133"/>
    <x v="1"/>
    <n v="72"/>
    <s v="70-79"/>
    <n v="4.6790123456790118"/>
    <n v="213.79613909325283"/>
    <s v="NLR&gt;=2.5"/>
    <s v="PLR&gt;=150"/>
    <x v="1"/>
    <n v="2"/>
    <n v="11780"/>
    <n v="408000"/>
    <n v="75.8"/>
    <n v="16.2"/>
    <n v="1908.3600000000001"/>
    <n v="8929.24"/>
  </r>
  <r>
    <n v="134"/>
    <x v="0"/>
    <n v="70"/>
    <s v="70-79"/>
    <n v="0.9792099792099791"/>
    <n v="62.945564675668479"/>
    <s v="NLR&lt;2.5"/>
    <s v="PLR&lt;150"/>
    <x v="1"/>
    <n v="2"/>
    <n v="5780"/>
    <n v="175000"/>
    <n v="47.1"/>
    <n v="48.1"/>
    <n v="2780.1800000000003"/>
    <n v="2722.38"/>
  </r>
  <r>
    <n v="135"/>
    <x v="1"/>
    <n v="69"/>
    <s v="60-69"/>
    <n v="2.0830670926517576"/>
    <n v="86.214832094369328"/>
    <s v="NLR&lt;2.5"/>
    <s v="PLR&lt;150"/>
    <x v="1"/>
    <n v="2"/>
    <n v="14230"/>
    <n v="384000"/>
    <n v="65.2"/>
    <n v="31.3"/>
    <n v="4453.99"/>
    <n v="9277.9600000000009"/>
  </r>
  <r>
    <n v="136"/>
    <x v="1"/>
    <n v="72"/>
    <s v="70-79"/>
    <n v="13.81967213114754"/>
    <n v="334.71530181430904"/>
    <s v="NLR&gt;=2.5"/>
    <s v="PLR&gt;=150"/>
    <x v="1"/>
    <n v="2"/>
    <n v="12930"/>
    <n v="264000"/>
    <n v="84.3"/>
    <n v="6.1"/>
    <n v="788.73"/>
    <n v="10899.99"/>
  </r>
  <r>
    <n v="137"/>
    <x v="0"/>
    <n v="60"/>
    <s v="60-69"/>
    <n v="1.3947368421052631"/>
    <n v="113.21909424724602"/>
    <s v="NLR&lt;2.5"/>
    <s v="PLR&lt;150"/>
    <x v="1"/>
    <n v="2"/>
    <n v="3440"/>
    <n v="148000"/>
    <n v="53"/>
    <n v="38"/>
    <n v="1307.2"/>
    <n v="1823.2"/>
  </r>
  <r>
    <n v="138"/>
    <x v="0"/>
    <n v="55"/>
    <s v="50-59"/>
    <n v="1.4344023323615163"/>
    <n v="237.80414074780671"/>
    <s v="NLR&lt;2.5"/>
    <s v="PLR&gt;=150"/>
    <x v="1"/>
    <n v="2"/>
    <n v="4340"/>
    <n v="354000"/>
    <n v="49.2"/>
    <n v="34.299999999999997"/>
    <n v="1488.62"/>
    <n v="2135.2800000000002"/>
  </r>
  <r>
    <n v="139"/>
    <x v="1"/>
    <n v="73"/>
    <s v="70-79"/>
    <n v="1.3890577507598787"/>
    <n v="170.14668957314657"/>
    <s v="NLR&lt;2.5"/>
    <s v="PLR&gt;=150"/>
    <x v="1"/>
    <n v="2"/>
    <n v="3680"/>
    <n v="206000"/>
    <n v="45.7"/>
    <n v="32.9"/>
    <n v="1210.7199999999998"/>
    <n v="1681.76"/>
  </r>
  <r>
    <n v="140"/>
    <x v="0"/>
    <n v="71"/>
    <s v="70-79"/>
    <n v="3.1387559808612435"/>
    <n v="141.73955943272853"/>
    <s v="NLR&gt;=2.5"/>
    <s v="PLR&lt;150"/>
    <x v="1"/>
    <n v="2"/>
    <n v="6110"/>
    <n v="181000"/>
    <n v="65.599999999999994"/>
    <n v="20.9"/>
    <n v="1276.99"/>
    <n v="4008.1599999999994"/>
  </r>
  <r>
    <n v="141"/>
    <x v="0"/>
    <n v="75"/>
    <s v="70-79"/>
    <n v="2.95"/>
    <n v="220.89314194577352"/>
    <s v="NLR&gt;=2.5"/>
    <s v="PLR&gt;=150"/>
    <x v="1"/>
    <n v="2"/>
    <n v="5700"/>
    <n v="277000"/>
    <n v="64.900000000000006"/>
    <n v="22"/>
    <n v="1254"/>
    <n v="3699.3"/>
  </r>
  <r>
    <n v="142"/>
    <x v="0"/>
    <n v="78"/>
    <s v="70-79"/>
    <n v="2.9769585253456219"/>
    <n v="225.44726444582005"/>
    <s v="NLR&gt;=2.5"/>
    <s v="PLR&gt;=150"/>
    <x v="1"/>
    <n v="2"/>
    <n v="6030"/>
    <n v="295000"/>
    <n v="64.599999999999994"/>
    <n v="21.7"/>
    <n v="1308.51"/>
    <n v="3895.3799999999997"/>
  </r>
  <r>
    <n v="143"/>
    <x v="1"/>
    <n v="65"/>
    <s v="60-69"/>
    <n v="8.0291262135922334"/>
    <n v="241.28224277589476"/>
    <s v="NLR&gt;=2.5"/>
    <s v="PLR&gt;=150"/>
    <x v="1"/>
    <n v="2"/>
    <n v="11830"/>
    <n v="294000"/>
    <n v="82.7"/>
    <n v="10.3"/>
    <n v="1218.49"/>
    <n v="9783.4100000000017"/>
  </r>
  <r>
    <n v="144"/>
    <x v="1"/>
    <n v="69"/>
    <s v="60-69"/>
    <n v="8.2330097087378622"/>
    <n v="84.50925671160725"/>
    <s v="NLR&gt;=2.5"/>
    <s v="PLR&lt;150"/>
    <x v="1"/>
    <n v="2"/>
    <n v="14820"/>
    <n v="129000"/>
    <n v="84.8"/>
    <n v="10.3"/>
    <n v="1526.46"/>
    <n v="12567.359999999999"/>
  </r>
  <r>
    <n v="145"/>
    <x v="1"/>
    <n v="68"/>
    <s v="60-69"/>
    <n v="4.9444444444444446"/>
    <n v="231.92493259543065"/>
    <s v="NLR&gt;=2.5"/>
    <s v="PLR&gt;=150"/>
    <x v="1"/>
    <n v="2"/>
    <n v="15660"/>
    <n v="523000"/>
    <n v="71.2"/>
    <n v="14.4"/>
    <n v="2255.0400000000004"/>
    <n v="11149.920000000002"/>
  </r>
  <r>
    <n v="146"/>
    <x v="1"/>
    <n v="76"/>
    <s v="70-79"/>
    <n v="2.4032258064516125"/>
    <n v="156.8100358422939"/>
    <s v="NLR&lt;2.5"/>
    <s v="PLR&gt;=150"/>
    <x v="1"/>
    <n v="2"/>
    <n v="5400"/>
    <n v="210000"/>
    <n v="59.6"/>
    <n v="24.8"/>
    <n v="1339.2"/>
    <n v="3218.3999999999996"/>
  </r>
  <r>
    <n v="147"/>
    <x v="1"/>
    <n v="54"/>
    <s v="50-59"/>
    <n v="1.6987577639751554"/>
    <n v="185.17146878009035"/>
    <s v="NLR&lt;2.5"/>
    <s v="PLR&gt;=150"/>
    <x v="1"/>
    <n v="2"/>
    <n v="5870"/>
    <n v="350000"/>
    <n v="54.7"/>
    <n v="32.200000000000003"/>
    <n v="1890.14"/>
    <n v="3210.8900000000003"/>
  </r>
  <r>
    <n v="148"/>
    <x v="1"/>
    <n v="61"/>
    <s v="60-69"/>
    <n v="18.306122448979593"/>
    <n v="270.53526036749219"/>
    <s v="NLR&gt;=2.5"/>
    <s v="PLR&gt;=150"/>
    <x v="1"/>
    <n v="2"/>
    <n v="22480"/>
    <n v="298000"/>
    <n v="89.7"/>
    <n v="4.9000000000000004"/>
    <n v="1101.52"/>
    <n v="20164.560000000001"/>
  </r>
  <r>
    <n v="149"/>
    <x v="0"/>
    <n v="76"/>
    <s v="70-79"/>
    <n v="12.768115942028983"/>
    <n v="262.42023021411103"/>
    <s v="NLR&gt;=2.5"/>
    <s v="PLR&gt;=150"/>
    <x v="1"/>
    <n v="2"/>
    <n v="14580"/>
    <n v="264000"/>
    <n v="88.1"/>
    <n v="6.9"/>
    <n v="1006.0200000000001"/>
    <n v="12844.979999999998"/>
  </r>
  <r>
    <n v="150"/>
    <x v="1"/>
    <n v="50"/>
    <s v="50-59"/>
    <n v="6.4188034188034173"/>
    <n v="354.61706049941341"/>
    <s v="NLR&gt;=2.5"/>
    <s v="PLR&gt;=150"/>
    <x v="1"/>
    <n v="2"/>
    <n v="12750"/>
    <n v="529000"/>
    <n v="75.099999999999994"/>
    <n v="11.7"/>
    <n v="1491.75"/>
    <n v="9575.2499999999982"/>
  </r>
  <r>
    <n v="151"/>
    <x v="0"/>
    <n v="67"/>
    <s v="60-69"/>
    <n v="23.25"/>
    <n v="431.77480916030538"/>
    <s v="NLR&gt;=2.5"/>
    <s v="PLR&gt;=150"/>
    <x v="1"/>
    <n v="2"/>
    <n v="10480"/>
    <n v="181000"/>
    <n v="93"/>
    <n v="4"/>
    <n v="419.2"/>
    <n v="9746.4"/>
  </r>
  <r>
    <n v="152"/>
    <x v="1"/>
    <n v="80"/>
    <s v="80-89"/>
    <n v="5.673758865248228"/>
    <n v="224.48350292938639"/>
    <s v="NLR&gt;=2.5"/>
    <s v="PLR&gt;=150"/>
    <x v="1"/>
    <n v="2"/>
    <n v="5750"/>
    <n v="182000"/>
    <n v="80"/>
    <n v="14.1"/>
    <n v="810.74999999999989"/>
    <n v="4600"/>
  </r>
  <r>
    <n v="153"/>
    <x v="1"/>
    <n v="54"/>
    <s v="50-59"/>
    <n v="3.6512820512820521"/>
    <n v="118.84893541698275"/>
    <s v="NLR&gt;=2.5"/>
    <s v="PLR&lt;150"/>
    <x v="1"/>
    <n v="2"/>
    <n v="10140"/>
    <n v="235000"/>
    <n v="71.2"/>
    <n v="19.5"/>
    <n v="1977.3"/>
    <n v="7219.6800000000012"/>
  </r>
  <r>
    <n v="154"/>
    <x v="1"/>
    <n v="63"/>
    <s v="60-69"/>
    <n v="2.2846441947565541"/>
    <n v="104.20269987487134"/>
    <s v="NLR&lt;2.5"/>
    <s v="PLR&lt;150"/>
    <x v="1"/>
    <n v="2"/>
    <n v="8770"/>
    <n v="244000"/>
    <n v="61"/>
    <n v="26.7"/>
    <n v="2341.59"/>
    <n v="5349.7"/>
  </r>
  <r>
    <n v="155"/>
    <x v="0"/>
    <n v="56"/>
    <s v="50-59"/>
    <n v="3.8393782383419688"/>
    <n v="166.03211862708613"/>
    <s v="NLR&gt;=2.5"/>
    <s v="PLR&gt;=150"/>
    <x v="1"/>
    <n v="2"/>
    <n v="10860"/>
    <n v="348000"/>
    <n v="74.099999999999994"/>
    <n v="19.3"/>
    <n v="2095.98"/>
    <n v="8047.26"/>
  </r>
  <r>
    <n v="156"/>
    <x v="1"/>
    <n v="70"/>
    <s v="70-79"/>
    <n v="1.666666666666667"/>
    <n v="158.8613406795225"/>
    <s v="NLR&lt;2.5"/>
    <s v="PLR&gt;=150"/>
    <x v="1"/>
    <n v="2"/>
    <n v="3300"/>
    <n v="173000"/>
    <n v="55"/>
    <n v="33"/>
    <n v="1089"/>
    <n v="1815.0000000000002"/>
  </r>
  <r>
    <n v="157"/>
    <x v="0"/>
    <n v="82"/>
    <s v="80-89"/>
    <n v="2.4444444444444442"/>
    <n v="139.47357230939318"/>
    <s v="NLR&lt;2.5"/>
    <s v="PLR&lt;150"/>
    <x v="1"/>
    <n v="2"/>
    <n v="8710"/>
    <n v="328000"/>
    <n v="66"/>
    <n v="27"/>
    <n v="2351.7000000000003"/>
    <n v="5748.6"/>
  </r>
  <r>
    <n v="158"/>
    <x v="1"/>
    <n v="61"/>
    <s v="60-69"/>
    <n v="3.6354679802955663"/>
    <n v="272.52189561310951"/>
    <s v="NLR&gt;=2.5"/>
    <s v="PLR&gt;=150"/>
    <x v="1"/>
    <n v="2"/>
    <n v="7610"/>
    <n v="421000"/>
    <n v="73.8"/>
    <n v="20.3"/>
    <n v="1544.8300000000002"/>
    <n v="5616.18"/>
  </r>
  <r>
    <n v="159"/>
    <x v="0"/>
    <n v="71"/>
    <s v="70-79"/>
    <n v="12.17391304347826"/>
    <n v="111.90607228031553"/>
    <s v="NLR&gt;=2.5"/>
    <s v="PLR&lt;150"/>
    <x v="1"/>
    <n v="2"/>
    <n v="15800"/>
    <n v="122000"/>
    <n v="84"/>
    <n v="6.9"/>
    <n v="1090.2"/>
    <n v="13272"/>
  </r>
  <r>
    <n v="160"/>
    <x v="1"/>
    <n v="55"/>
    <s v="50-59"/>
    <n v="16.236363636363638"/>
    <n v="382.44514106583074"/>
    <s v="NLR&gt;=2.5"/>
    <s v="PLR&gt;=150"/>
    <x v="1"/>
    <n v="2"/>
    <n v="14500"/>
    <n v="305000"/>
    <n v="89.3"/>
    <n v="5.5"/>
    <n v="797.5"/>
    <n v="12948.5"/>
  </r>
  <r>
    <n v="161"/>
    <x v="1"/>
    <n v="80"/>
    <s v="80-89"/>
    <n v="0.87029288702928886"/>
    <n v="71.816648972709672"/>
    <s v="NLR&lt;2.5"/>
    <s v="PLR&lt;150"/>
    <x v="1"/>
    <n v="2"/>
    <n v="6700"/>
    <n v="230000"/>
    <n v="41.6"/>
    <n v="47.8"/>
    <n v="3202.6"/>
    <n v="2787.2000000000003"/>
  </r>
  <r>
    <n v="162"/>
    <x v="1"/>
    <n v="86"/>
    <s v="80-89"/>
    <n v="3.0308370044052859"/>
    <n v="145.73253499662735"/>
    <s v="NLR&gt;=2.5"/>
    <s v="PLR&lt;150"/>
    <x v="1"/>
    <n v="2"/>
    <n v="5290"/>
    <n v="175000"/>
    <n v="68.8"/>
    <n v="22.7"/>
    <n v="1200.83"/>
    <n v="3639.5199999999995"/>
  </r>
  <r>
    <n v="163"/>
    <x v="1"/>
    <n v="74"/>
    <s v="70-79"/>
    <n v="0.90126050420168047"/>
    <n v="41.568760205503999"/>
    <s v="NLR&lt;2.5"/>
    <s v="PLR&lt;150"/>
    <x v="1"/>
    <n v="2"/>
    <n v="8440"/>
    <n v="167000"/>
    <n v="42.9"/>
    <n v="47.6"/>
    <n v="4017.4400000000005"/>
    <n v="3620.7599999999998"/>
  </r>
  <r>
    <n v="164"/>
    <x v="1"/>
    <n v="68"/>
    <s v="60-69"/>
    <n v="26.94285714285714"/>
    <n v="619.73413218498411"/>
    <s v="NLR&gt;=2.5"/>
    <s v="PLR&gt;=150"/>
    <x v="1"/>
    <n v="2"/>
    <n v="15260"/>
    <n v="331000"/>
    <n v="94.3"/>
    <n v="3.5"/>
    <n v="534.1"/>
    <n v="14390.179999999998"/>
  </r>
  <r>
    <n v="165"/>
    <x v="1"/>
    <n v="53"/>
    <s v="50-59"/>
    <n v="3.4545454545454546"/>
    <n v="134.86377271487717"/>
    <s v="NLR&gt;=2.5"/>
    <s v="PLR&lt;150"/>
    <x v="1"/>
    <n v="2"/>
    <n v="9650"/>
    <n v="272000"/>
    <n v="72.2"/>
    <n v="20.9"/>
    <n v="2016.85"/>
    <n v="6967.3"/>
  </r>
  <r>
    <n v="166"/>
    <x v="0"/>
    <n v="64"/>
    <s v="60-69"/>
    <n v="3.2685185185185177"/>
    <n v="255.12024548633408"/>
    <s v="NLR&gt;=2.5"/>
    <s v="PLR&gt;=150"/>
    <x v="1"/>
    <n v="2"/>
    <n v="5190"/>
    <n v="286000"/>
    <n v="70.599999999999994"/>
    <n v="21.6"/>
    <n v="1121.0400000000002"/>
    <n v="3664.14"/>
  </r>
  <r>
    <n v="167"/>
    <x v="0"/>
    <n v="66"/>
    <s v="60-69"/>
    <n v="3.4292929292929295"/>
    <n v="198.84838725418436"/>
    <s v="NLR&gt;=2.5"/>
    <s v="PLR&gt;=150"/>
    <x v="1"/>
    <n v="2"/>
    <n v="4140"/>
    <n v="163000"/>
    <n v="67.900000000000006"/>
    <n v="19.8"/>
    <n v="819.72"/>
    <n v="2811.0600000000004"/>
  </r>
  <r>
    <n v="168"/>
    <x v="1"/>
    <n v="76"/>
    <s v="70-79"/>
    <n v="31.142857142857142"/>
    <n v="655.59026791631163"/>
    <s v="NLR&gt;=2.5"/>
    <s v="PLR&gt;=150"/>
    <x v="1"/>
    <n v="2"/>
    <n v="15090"/>
    <n v="277000"/>
    <n v="87.2"/>
    <n v="2.8"/>
    <n v="422.52"/>
    <n v="13158.48"/>
  </r>
  <r>
    <n v="169"/>
    <x v="1"/>
    <n v="80"/>
    <s v="80-89"/>
    <n v="18.200000000000003"/>
    <n v="595.71322985957136"/>
    <s v="NLR&gt;=2.5"/>
    <s v="PLR&gt;=150"/>
    <x v="1"/>
    <n v="2"/>
    <n v="13530"/>
    <n v="403000"/>
    <n v="91"/>
    <n v="5"/>
    <n v="676.5"/>
    <n v="12312.300000000001"/>
  </r>
  <r>
    <n v="170"/>
    <x v="0"/>
    <n v="66"/>
    <s v="60-69"/>
    <n v="12.661971830985918"/>
    <n v="301.92377610217989"/>
    <s v="NLR&gt;=2.5"/>
    <s v="PLR&gt;=150"/>
    <x v="1"/>
    <n v="2"/>
    <n v="17820"/>
    <n v="382000"/>
    <n v="89.9"/>
    <n v="7.1"/>
    <n v="1265.2199999999998"/>
    <n v="16020.18"/>
  </r>
  <r>
    <n v="171"/>
    <x v="1"/>
    <n v="82"/>
    <s v="80-89"/>
    <n v="6.2460317460317469"/>
    <n v="216.06694913467823"/>
    <s v="NLR&gt;=2.5"/>
    <s v="PLR&gt;=150"/>
    <x v="1"/>
    <n v="2"/>
    <n v="7530"/>
    <n v="205000"/>
    <n v="78.7"/>
    <n v="12.6"/>
    <n v="948.78"/>
    <n v="5926.1100000000006"/>
  </r>
  <r>
    <n v="172"/>
    <x v="1"/>
    <n v="62"/>
    <s v="60-69"/>
    <n v="1.4972527472527475"/>
    <n v="117.37089201877936"/>
    <s v="NLR&lt;2.5"/>
    <s v="PLR&lt;150"/>
    <x v="1"/>
    <n v="2"/>
    <n v="4260"/>
    <n v="182000"/>
    <n v="54.5"/>
    <n v="36.4"/>
    <n v="1550.6399999999999"/>
    <n v="2321.7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DC95D-0879-46E7-85A2-D10D3884918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9">
  <location ref="M3:P7" firstHeaderRow="1" firstDataRow="2" firstDataCol="1"/>
  <pivotFields count="16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</pivotFields>
  <rowFields count="1">
    <field x="1"/>
  </rowFields>
  <rowItems count="3">
    <i>
      <x/>
    </i>
    <i>
      <x v="1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No" fld="0" subtotal="count" showDataAs="percentOfRow" baseField="1" baseItem="0" numFmtId="1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11FCE-90CB-468A-AC20-4F5199BD6A2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9">
  <location ref="H3:K7" firstHeaderRow="1" firstDataRow="2" firstDataCol="1"/>
  <pivotFields count="16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</pivotFields>
  <rowFields count="1">
    <field x="1"/>
  </rowFields>
  <rowItems count="3">
    <i>
      <x/>
    </i>
    <i>
      <x v="1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No" fld="0" subtotal="count" baseField="1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5969B-80A7-48FD-A791-6B131A101AD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8">
  <location ref="A3:D5" firstHeaderRow="1" firstDataRow="2" firstDataCol="1"/>
  <pivotFields count="16">
    <pivotField dataField="1" showAll="0"/>
    <pivotField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</pivotFields>
  <rowItems count="1">
    <i/>
  </rowItems>
  <colFields count="1">
    <field x="8"/>
  </colFields>
  <colItems count="3">
    <i>
      <x/>
    </i>
    <i>
      <x v="1"/>
    </i>
    <i t="grand">
      <x/>
    </i>
  </colItems>
  <dataFields count="1">
    <dataField name="Count of No" fld="0" subtotal="count" baseField="1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0" dT="2025-04-24T04:16:16.95" personId="{F95A4E65-BD67-437F-876F-5DD70D5BE799}" id="{A0FC83CE-29A3-4AEA-ADB7-6588A0A6EDE5}">
    <text>เคสนี้แทนผู้ป่วยRCC  6 ขวบ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C299-818D-4593-8A9B-67C1225A9165}">
  <dimension ref="A1:P176"/>
  <sheetViews>
    <sheetView tabSelected="1" topLeftCell="A55" workbookViewId="0">
      <selection activeCell="G97" sqref="G97"/>
    </sheetView>
  </sheetViews>
  <sheetFormatPr defaultRowHeight="13.8" x14ac:dyDescent="0.25"/>
  <cols>
    <col min="4" max="4" width="12.3984375" customWidth="1"/>
    <col min="5" max="5" width="11.3984375" style="9" bestFit="1" customWidth="1"/>
    <col min="6" max="8" width="12.19921875" style="9" customWidth="1"/>
    <col min="9" max="9" width="10.59765625" customWidth="1"/>
    <col min="10" max="10" width="15.19921875" style="10" customWidth="1"/>
    <col min="11" max="11" width="15.796875" style="9" customWidth="1"/>
    <col min="12" max="12" width="11.3984375" style="9" bestFit="1" customWidth="1"/>
    <col min="13" max="14" width="8.796875" style="9"/>
    <col min="15" max="15" width="14.8984375" style="9" customWidth="1"/>
    <col min="16" max="16" width="14.796875" style="9" customWidth="1"/>
  </cols>
  <sheetData>
    <row r="1" spans="1:16" x14ac:dyDescent="0.25">
      <c r="A1" s="4" t="s">
        <v>10</v>
      </c>
      <c r="B1" s="4" t="s">
        <v>2</v>
      </c>
      <c r="C1" s="4" t="s">
        <v>3</v>
      </c>
      <c r="D1" s="5" t="s">
        <v>15</v>
      </c>
      <c r="E1" s="8" t="s">
        <v>4</v>
      </c>
      <c r="F1" s="8" t="s">
        <v>5</v>
      </c>
      <c r="G1" s="8" t="s">
        <v>25</v>
      </c>
      <c r="H1" s="8" t="s">
        <v>26</v>
      </c>
      <c r="I1" s="4" t="s">
        <v>6</v>
      </c>
      <c r="J1" s="4" t="s">
        <v>9</v>
      </c>
      <c r="K1" s="8" t="s">
        <v>7</v>
      </c>
      <c r="L1" s="8" t="s">
        <v>8</v>
      </c>
      <c r="M1" s="8" t="s">
        <v>14</v>
      </c>
      <c r="N1" s="8" t="s">
        <v>12</v>
      </c>
      <c r="O1" s="8" t="s">
        <v>11</v>
      </c>
      <c r="P1" s="8" t="s">
        <v>13</v>
      </c>
    </row>
    <row r="2" spans="1:16" x14ac:dyDescent="0.25">
      <c r="A2" s="2">
        <v>1</v>
      </c>
      <c r="B2" s="2" t="s">
        <v>23</v>
      </c>
      <c r="C2" s="2">
        <v>86</v>
      </c>
      <c r="D2" s="6" t="s">
        <v>22</v>
      </c>
      <c r="E2" s="3">
        <f>P2/O2</f>
        <v>17</v>
      </c>
      <c r="F2" s="3">
        <f>L2/O2</f>
        <v>432</v>
      </c>
      <c r="G2" s="3" t="str" cm="1">
        <f t="array" ref="G2">_xlfn.IFS(E2&gt;=2.5,"NLR&gt;=2.5",E2&lt;2.5,"NLR&lt;2.5")</f>
        <v>NLR&gt;=2.5</v>
      </c>
      <c r="H2" s="3" t="str" cm="1">
        <f t="array" ref="H2">_xlfn.IFS(F2&gt;=150,"PLR&gt;=150",F2&lt;150,"PLR&lt;150")</f>
        <v>PLR&gt;=150</v>
      </c>
      <c r="I2" s="2" t="s">
        <v>0</v>
      </c>
      <c r="J2" s="1">
        <v>1</v>
      </c>
      <c r="K2" s="3">
        <v>17500</v>
      </c>
      <c r="L2" s="3">
        <v>378000</v>
      </c>
      <c r="M2" s="3">
        <v>85</v>
      </c>
      <c r="N2" s="3">
        <v>5</v>
      </c>
      <c r="O2" s="3">
        <f>K2*(N2/100)</f>
        <v>875</v>
      </c>
      <c r="P2" s="3">
        <f>K2*(M2/100)</f>
        <v>14875</v>
      </c>
    </row>
    <row r="3" spans="1:16" x14ac:dyDescent="0.25">
      <c r="A3" s="2">
        <v>2</v>
      </c>
      <c r="B3" s="2" t="s">
        <v>23</v>
      </c>
      <c r="C3" s="2">
        <v>66</v>
      </c>
      <c r="D3" s="6" t="s">
        <v>20</v>
      </c>
      <c r="E3" s="3">
        <f>P3/O3</f>
        <v>4.25</v>
      </c>
      <c r="F3" s="3">
        <f>L3/O3</f>
        <v>231.01265822784811</v>
      </c>
      <c r="G3" s="3" t="str" cm="1">
        <f t="array" ref="G3">_xlfn.IFS(E3&gt;=2.5,"NLR&gt;=2.5",E3&lt;2.5,"NLR&lt;2.5")</f>
        <v>NLR&gt;=2.5</v>
      </c>
      <c r="H3" s="3" t="str" cm="1">
        <f t="array" ref="H3">_xlfn.IFS(F3&gt;=150,"PLR&gt;=150",F3&lt;150,"PLR&lt;150")</f>
        <v>PLR&gt;=150</v>
      </c>
      <c r="I3" s="2" t="s">
        <v>0</v>
      </c>
      <c r="J3" s="1">
        <v>1</v>
      </c>
      <c r="K3" s="3">
        <v>7900</v>
      </c>
      <c r="L3" s="3">
        <v>292000</v>
      </c>
      <c r="M3" s="3">
        <v>68</v>
      </c>
      <c r="N3" s="3">
        <v>16</v>
      </c>
      <c r="O3" s="3">
        <f t="shared" ref="O3:O66" si="0">K3*(N3/100)</f>
        <v>1264</v>
      </c>
      <c r="P3" s="3">
        <f t="shared" ref="P3:P66" si="1">K3*(M3/100)</f>
        <v>5372</v>
      </c>
    </row>
    <row r="4" spans="1:16" x14ac:dyDescent="0.25">
      <c r="A4" s="2">
        <v>3</v>
      </c>
      <c r="B4" s="2" t="s">
        <v>24</v>
      </c>
      <c r="C4" s="2">
        <v>69</v>
      </c>
      <c r="D4" s="6" t="s">
        <v>20</v>
      </c>
      <c r="E4" s="3">
        <f t="shared" ref="E4:E66" si="2">P4/O4</f>
        <v>2.4814814814814814</v>
      </c>
      <c r="F4" s="3">
        <f t="shared" ref="F4:F66" si="3">L4/O4</f>
        <v>115.22633744855966</v>
      </c>
      <c r="G4" s="3" t="str" cm="1">
        <f t="array" ref="G4">_xlfn.IFS(E4&gt;=2.5,"NLR&gt;=2.5",E4&lt;2.5,"NLR&lt;2.5")</f>
        <v>NLR&lt;2.5</v>
      </c>
      <c r="H4" s="3" t="str" cm="1">
        <f t="array" ref="H4">_xlfn.IFS(F4&gt;=150,"PLR&gt;=150",F4&lt;150,"PLR&lt;150")</f>
        <v>PLR&lt;150</v>
      </c>
      <c r="I4" s="2" t="s">
        <v>0</v>
      </c>
      <c r="J4" s="1">
        <v>1</v>
      </c>
      <c r="K4" s="3">
        <v>7200</v>
      </c>
      <c r="L4" s="3">
        <v>224000</v>
      </c>
      <c r="M4" s="3">
        <v>67</v>
      </c>
      <c r="N4" s="3">
        <v>27</v>
      </c>
      <c r="O4" s="3">
        <f t="shared" si="0"/>
        <v>1944.0000000000002</v>
      </c>
      <c r="P4" s="3">
        <f t="shared" si="1"/>
        <v>4824</v>
      </c>
    </row>
    <row r="5" spans="1:16" x14ac:dyDescent="0.25">
      <c r="A5" s="2">
        <v>4</v>
      </c>
      <c r="B5" s="2" t="s">
        <v>23</v>
      </c>
      <c r="C5" s="2">
        <v>58</v>
      </c>
      <c r="D5" s="6" t="s">
        <v>19</v>
      </c>
      <c r="E5" s="3">
        <f t="shared" si="2"/>
        <v>1.7500000000000002</v>
      </c>
      <c r="F5" s="3">
        <f t="shared" si="3"/>
        <v>123.69791666666667</v>
      </c>
      <c r="G5" s="3" t="str" cm="1">
        <f t="array" ref="G5">_xlfn.IFS(E5&gt;=2.5,"NLR&gt;=2.5",E5&lt;2.5,"NLR&lt;2.5")</f>
        <v>NLR&lt;2.5</v>
      </c>
      <c r="H5" s="3" t="str" cm="1">
        <f t="array" ref="H5">_xlfn.IFS(F5&gt;=150,"PLR&gt;=150",F5&lt;150,"PLR&lt;150")</f>
        <v>PLR&lt;150</v>
      </c>
      <c r="I5" s="2" t="s">
        <v>0</v>
      </c>
      <c r="J5" s="1">
        <v>1</v>
      </c>
      <c r="K5" s="3">
        <v>4800</v>
      </c>
      <c r="L5" s="3">
        <v>190000</v>
      </c>
      <c r="M5" s="3">
        <v>56</v>
      </c>
      <c r="N5" s="3">
        <v>32</v>
      </c>
      <c r="O5" s="3">
        <f t="shared" si="0"/>
        <v>1536</v>
      </c>
      <c r="P5" s="3">
        <f t="shared" si="1"/>
        <v>2688.0000000000005</v>
      </c>
    </row>
    <row r="6" spans="1:16" x14ac:dyDescent="0.25">
      <c r="A6" s="2">
        <v>5</v>
      </c>
      <c r="B6" s="2" t="s">
        <v>24</v>
      </c>
      <c r="C6" s="2">
        <v>72</v>
      </c>
      <c r="D6" s="6" t="s">
        <v>21</v>
      </c>
      <c r="E6" s="3">
        <f t="shared" si="2"/>
        <v>2.5416666666666665</v>
      </c>
      <c r="F6" s="3">
        <f t="shared" si="3"/>
        <v>283.89238294898672</v>
      </c>
      <c r="G6" s="3" t="str" cm="1">
        <f t="array" ref="G6">_xlfn.IFS(E6&gt;=2.5,"NLR&gt;=2.5",E6&lt;2.5,"NLR&lt;2.5")</f>
        <v>NLR&gt;=2.5</v>
      </c>
      <c r="H6" s="3" t="str" cm="1">
        <f t="array" ref="H6">_xlfn.IFS(F6&gt;=150,"PLR&gt;=150",F6&lt;150,"PLR&lt;150")</f>
        <v>PLR&gt;=150</v>
      </c>
      <c r="I6" s="2" t="s">
        <v>0</v>
      </c>
      <c r="J6" s="1">
        <v>1</v>
      </c>
      <c r="K6" s="3">
        <v>4770</v>
      </c>
      <c r="L6" s="3">
        <v>325000</v>
      </c>
      <c r="M6" s="3">
        <v>61</v>
      </c>
      <c r="N6" s="3">
        <v>24</v>
      </c>
      <c r="O6" s="3">
        <f t="shared" si="0"/>
        <v>1144.8</v>
      </c>
      <c r="P6" s="3">
        <f t="shared" si="1"/>
        <v>2909.7</v>
      </c>
    </row>
    <row r="7" spans="1:16" x14ac:dyDescent="0.25">
      <c r="A7" s="2">
        <v>6</v>
      </c>
      <c r="B7" s="2" t="s">
        <v>23</v>
      </c>
      <c r="C7" s="2">
        <v>48</v>
      </c>
      <c r="D7" s="6" t="s">
        <v>18</v>
      </c>
      <c r="E7" s="3">
        <f t="shared" si="2"/>
        <v>1.5135135135135136</v>
      </c>
      <c r="F7" s="3">
        <f t="shared" si="3"/>
        <v>172.45817245817247</v>
      </c>
      <c r="G7" s="3" t="str" cm="1">
        <f t="array" ref="G7">_xlfn.IFS(E7&gt;=2.5,"NLR&gt;=2.5",E7&lt;2.5,"NLR&lt;2.5")</f>
        <v>NLR&lt;2.5</v>
      </c>
      <c r="H7" s="3" t="str" cm="1">
        <f t="array" ref="H7">_xlfn.IFS(F7&gt;=150,"PLR&gt;=150",F7&lt;150,"PLR&lt;150")</f>
        <v>PLR&gt;=150</v>
      </c>
      <c r="I7" s="2" t="s">
        <v>0</v>
      </c>
      <c r="J7" s="1">
        <v>1</v>
      </c>
      <c r="K7" s="3">
        <v>4200</v>
      </c>
      <c r="L7" s="3">
        <v>268000</v>
      </c>
      <c r="M7" s="3">
        <v>56</v>
      </c>
      <c r="N7" s="3">
        <v>37</v>
      </c>
      <c r="O7" s="3">
        <f t="shared" si="0"/>
        <v>1554</v>
      </c>
      <c r="P7" s="3">
        <f t="shared" si="1"/>
        <v>2352</v>
      </c>
    </row>
    <row r="8" spans="1:16" x14ac:dyDescent="0.25">
      <c r="A8" s="2">
        <v>7</v>
      </c>
      <c r="B8" s="2" t="s">
        <v>24</v>
      </c>
      <c r="C8" s="2">
        <v>54</v>
      </c>
      <c r="D8" s="6" t="s">
        <v>19</v>
      </c>
      <c r="E8" s="3">
        <f t="shared" si="2"/>
        <v>2</v>
      </c>
      <c r="F8" s="3">
        <f t="shared" si="3"/>
        <v>111.11111111111111</v>
      </c>
      <c r="G8" s="3" t="str" cm="1">
        <f t="array" ref="G8">_xlfn.IFS(E8&gt;=2.5,"NLR&gt;=2.5",E8&lt;2.5,"NLR&lt;2.5")</f>
        <v>NLR&lt;2.5</v>
      </c>
      <c r="H8" s="3" t="str" cm="1">
        <f t="array" ref="H8">_xlfn.IFS(F8&gt;=150,"PLR&gt;=150",F8&lt;150,"PLR&lt;150")</f>
        <v>PLR&lt;150</v>
      </c>
      <c r="I8" s="2" t="s">
        <v>0</v>
      </c>
      <c r="J8" s="1">
        <v>1</v>
      </c>
      <c r="K8" s="3">
        <v>6000</v>
      </c>
      <c r="L8" s="3">
        <v>200000</v>
      </c>
      <c r="M8" s="3">
        <v>60</v>
      </c>
      <c r="N8" s="3">
        <v>30</v>
      </c>
      <c r="O8" s="3">
        <f t="shared" si="0"/>
        <v>1800</v>
      </c>
      <c r="P8" s="3">
        <f t="shared" si="1"/>
        <v>3600</v>
      </c>
    </row>
    <row r="9" spans="1:16" x14ac:dyDescent="0.25">
      <c r="A9" s="2">
        <v>8</v>
      </c>
      <c r="B9" s="2" t="s">
        <v>23</v>
      </c>
      <c r="C9" s="2">
        <v>62</v>
      </c>
      <c r="D9" s="6" t="s">
        <v>20</v>
      </c>
      <c r="E9" s="3">
        <f t="shared" si="2"/>
        <v>1.7812499999999998</v>
      </c>
      <c r="F9" s="3">
        <f t="shared" si="3"/>
        <v>87.797619047619051</v>
      </c>
      <c r="G9" s="3" t="str" cm="1">
        <f t="array" ref="G9">_xlfn.IFS(E9&gt;=2.5,"NLR&gt;=2.5",E9&lt;2.5,"NLR&lt;2.5")</f>
        <v>NLR&lt;2.5</v>
      </c>
      <c r="H9" s="3" t="str" cm="1">
        <f t="array" ref="H9">_xlfn.IFS(F9&gt;=150,"PLR&gt;=150",F9&lt;150,"PLR&lt;150")</f>
        <v>PLR&lt;150</v>
      </c>
      <c r="I9" s="2" t="s">
        <v>0</v>
      </c>
      <c r="J9" s="1">
        <v>1</v>
      </c>
      <c r="K9" s="3">
        <v>6300</v>
      </c>
      <c r="L9" s="3">
        <v>177000</v>
      </c>
      <c r="M9" s="3">
        <v>57</v>
      </c>
      <c r="N9" s="3">
        <v>32</v>
      </c>
      <c r="O9" s="3">
        <f t="shared" si="0"/>
        <v>2016</v>
      </c>
      <c r="P9" s="3">
        <f t="shared" si="1"/>
        <v>3590.9999999999995</v>
      </c>
    </row>
    <row r="10" spans="1:16" x14ac:dyDescent="0.25">
      <c r="A10" s="2">
        <v>9</v>
      </c>
      <c r="B10" s="2" t="s">
        <v>24</v>
      </c>
      <c r="C10" s="2">
        <v>54</v>
      </c>
      <c r="D10" s="6" t="s">
        <v>19</v>
      </c>
      <c r="E10" s="3">
        <f t="shared" si="2"/>
        <v>1.5</v>
      </c>
      <c r="F10" s="3">
        <f t="shared" si="3"/>
        <v>103.40073529411765</v>
      </c>
      <c r="G10" s="3" t="str" cm="1">
        <f t="array" ref="G10">_xlfn.IFS(E10&gt;=2.5,"NLR&gt;=2.5",E10&lt;2.5,"NLR&lt;2.5")</f>
        <v>NLR&lt;2.5</v>
      </c>
      <c r="H10" s="3" t="str" cm="1">
        <f t="array" ref="H10">_xlfn.IFS(F10&gt;=150,"PLR&gt;=150",F10&lt;150,"PLR&lt;150")</f>
        <v>PLR&lt;150</v>
      </c>
      <c r="I10" s="2" t="s">
        <v>0</v>
      </c>
      <c r="J10" s="1">
        <v>1</v>
      </c>
      <c r="K10" s="3">
        <v>6400</v>
      </c>
      <c r="L10" s="3">
        <v>225000</v>
      </c>
      <c r="M10" s="3">
        <v>51</v>
      </c>
      <c r="N10" s="3">
        <v>34</v>
      </c>
      <c r="O10" s="3">
        <f t="shared" si="0"/>
        <v>2176</v>
      </c>
      <c r="P10" s="3">
        <f t="shared" si="1"/>
        <v>3264</v>
      </c>
    </row>
    <row r="11" spans="1:16" x14ac:dyDescent="0.25">
      <c r="A11" s="2">
        <v>10</v>
      </c>
      <c r="B11" s="2" t="s">
        <v>24</v>
      </c>
      <c r="C11" s="2">
        <v>65</v>
      </c>
      <c r="D11" s="6" t="s">
        <v>20</v>
      </c>
      <c r="E11" s="3">
        <f t="shared" si="2"/>
        <v>2.4074074074074074</v>
      </c>
      <c r="F11" s="3">
        <f t="shared" si="3"/>
        <v>115.17615176151762</v>
      </c>
      <c r="G11" s="3" t="str" cm="1">
        <f t="array" ref="G11">_xlfn.IFS(E11&gt;=2.5,"NLR&gt;=2.5",E11&lt;2.5,"NLR&lt;2.5")</f>
        <v>NLR&lt;2.5</v>
      </c>
      <c r="H11" s="3" t="str" cm="1">
        <f t="array" ref="H11">_xlfn.IFS(F11&gt;=150,"PLR&gt;=150",F11&lt;150,"PLR&lt;150")</f>
        <v>PLR&lt;150</v>
      </c>
      <c r="I11" s="2" t="s">
        <v>0</v>
      </c>
      <c r="J11" s="1">
        <v>1</v>
      </c>
      <c r="K11" s="3">
        <v>8200</v>
      </c>
      <c r="L11" s="3">
        <v>255000</v>
      </c>
      <c r="M11" s="3">
        <v>65</v>
      </c>
      <c r="N11" s="3">
        <v>27</v>
      </c>
      <c r="O11" s="3">
        <f t="shared" si="0"/>
        <v>2214</v>
      </c>
      <c r="P11" s="3">
        <f t="shared" si="1"/>
        <v>5330</v>
      </c>
    </row>
    <row r="12" spans="1:16" x14ac:dyDescent="0.25">
      <c r="A12" s="2">
        <v>11</v>
      </c>
      <c r="B12" s="2" t="s">
        <v>23</v>
      </c>
      <c r="C12" s="2">
        <v>59</v>
      </c>
      <c r="D12" s="6" t="s">
        <v>19</v>
      </c>
      <c r="E12" s="3">
        <f t="shared" si="2"/>
        <v>1.2352941176470589</v>
      </c>
      <c r="F12" s="3">
        <f t="shared" si="3"/>
        <v>91.294117647058826</v>
      </c>
      <c r="G12" s="3" t="str" cm="1">
        <f t="array" ref="G12">_xlfn.IFS(E12&gt;=2.5,"NLR&gt;=2.5",E12&lt;2.5,"NLR&lt;2.5")</f>
        <v>NLR&lt;2.5</v>
      </c>
      <c r="H12" s="3" t="str" cm="1">
        <f t="array" ref="H12">_xlfn.IFS(F12&gt;=150,"PLR&gt;=150",F12&lt;150,"PLR&lt;150")</f>
        <v>PLR&lt;150</v>
      </c>
      <c r="I12" s="2" t="s">
        <v>0</v>
      </c>
      <c r="J12" s="1">
        <v>1</v>
      </c>
      <c r="K12" s="3">
        <v>6250</v>
      </c>
      <c r="L12" s="3">
        <v>194000</v>
      </c>
      <c r="M12" s="3">
        <v>42</v>
      </c>
      <c r="N12" s="3">
        <v>34</v>
      </c>
      <c r="O12" s="3">
        <f t="shared" si="0"/>
        <v>2125</v>
      </c>
      <c r="P12" s="3">
        <f t="shared" si="1"/>
        <v>2625</v>
      </c>
    </row>
    <row r="13" spans="1:16" x14ac:dyDescent="0.25">
      <c r="A13" s="2">
        <v>12</v>
      </c>
      <c r="B13" s="2" t="s">
        <v>24</v>
      </c>
      <c r="C13" s="2">
        <v>56</v>
      </c>
      <c r="D13" s="6" t="s">
        <v>19</v>
      </c>
      <c r="E13" s="3">
        <f t="shared" si="2"/>
        <v>3.0952380952380953</v>
      </c>
      <c r="F13" s="3">
        <f t="shared" si="3"/>
        <v>241.16743471582183</v>
      </c>
      <c r="G13" s="3" t="str" cm="1">
        <f t="array" ref="G13">_xlfn.IFS(E13&gt;=2.5,"NLR&gt;=2.5",E13&lt;2.5,"NLR&lt;2.5")</f>
        <v>NLR&gt;=2.5</v>
      </c>
      <c r="H13" s="3" t="str" cm="1">
        <f t="array" ref="H13">_xlfn.IFS(F13&gt;=150,"PLR&gt;=150",F13&lt;150,"PLR&lt;150")</f>
        <v>PLR&gt;=150</v>
      </c>
      <c r="I13" s="2" t="s">
        <v>0</v>
      </c>
      <c r="J13" s="1">
        <v>1</v>
      </c>
      <c r="K13" s="3">
        <v>6200</v>
      </c>
      <c r="L13" s="3">
        <v>314000</v>
      </c>
      <c r="M13" s="3">
        <v>65</v>
      </c>
      <c r="N13" s="3">
        <v>21</v>
      </c>
      <c r="O13" s="3">
        <f t="shared" si="0"/>
        <v>1302</v>
      </c>
      <c r="P13" s="3">
        <f t="shared" si="1"/>
        <v>4030</v>
      </c>
    </row>
    <row r="14" spans="1:16" x14ac:dyDescent="0.25">
      <c r="A14" s="2">
        <v>13</v>
      </c>
      <c r="B14" s="2" t="s">
        <v>23</v>
      </c>
      <c r="C14" s="2">
        <v>65</v>
      </c>
      <c r="D14" s="6" t="s">
        <v>20</v>
      </c>
      <c r="E14" s="3">
        <f t="shared" si="2"/>
        <v>2.4782608695652173</v>
      </c>
      <c r="F14" s="3">
        <f t="shared" si="3"/>
        <v>325.05175983436851</v>
      </c>
      <c r="G14" s="3" t="str" cm="1">
        <f t="array" ref="G14">_xlfn.IFS(E14&gt;=2.5,"NLR&gt;=2.5",E14&lt;2.5,"NLR&lt;2.5")</f>
        <v>NLR&lt;2.5</v>
      </c>
      <c r="H14" s="3" t="str" cm="1">
        <f t="array" ref="H14">_xlfn.IFS(F14&gt;=150,"PLR&gt;=150",F14&lt;150,"PLR&lt;150")</f>
        <v>PLR&gt;=150</v>
      </c>
      <c r="I14" s="2" t="s">
        <v>0</v>
      </c>
      <c r="J14" s="1">
        <v>1</v>
      </c>
      <c r="K14" s="3">
        <v>6300</v>
      </c>
      <c r="L14" s="3">
        <v>471000</v>
      </c>
      <c r="M14" s="3">
        <v>57</v>
      </c>
      <c r="N14" s="3">
        <v>23</v>
      </c>
      <c r="O14" s="3">
        <f t="shared" si="0"/>
        <v>1449</v>
      </c>
      <c r="P14" s="3">
        <f t="shared" si="1"/>
        <v>3590.9999999999995</v>
      </c>
    </row>
    <row r="15" spans="1:16" x14ac:dyDescent="0.25">
      <c r="A15" s="2">
        <v>14</v>
      </c>
      <c r="B15" s="2" t="s">
        <v>24</v>
      </c>
      <c r="C15" s="2">
        <v>61</v>
      </c>
      <c r="D15" s="6" t="s">
        <v>20</v>
      </c>
      <c r="E15" s="3">
        <f t="shared" si="2"/>
        <v>1.0571428571428572</v>
      </c>
      <c r="F15" s="3">
        <f t="shared" si="3"/>
        <v>102.94784580498866</v>
      </c>
      <c r="G15" s="3" t="str" cm="1">
        <f t="array" ref="G15">_xlfn.IFS(E15&gt;=2.5,"NLR&gt;=2.5",E15&lt;2.5,"NLR&lt;2.5")</f>
        <v>NLR&lt;2.5</v>
      </c>
      <c r="H15" s="3" t="str" cm="1">
        <f t="array" ref="H15">_xlfn.IFS(F15&gt;=150,"PLR&gt;=150",F15&lt;150,"PLR&lt;150")</f>
        <v>PLR&lt;150</v>
      </c>
      <c r="I15" s="2" t="s">
        <v>0</v>
      </c>
      <c r="J15" s="1">
        <v>1</v>
      </c>
      <c r="K15" s="3">
        <v>6300</v>
      </c>
      <c r="L15" s="3">
        <v>227000</v>
      </c>
      <c r="M15" s="3">
        <v>37</v>
      </c>
      <c r="N15" s="3">
        <v>35</v>
      </c>
      <c r="O15" s="3">
        <f t="shared" si="0"/>
        <v>2205</v>
      </c>
      <c r="P15" s="3">
        <f t="shared" si="1"/>
        <v>2331</v>
      </c>
    </row>
    <row r="16" spans="1:16" x14ac:dyDescent="0.25">
      <c r="A16" s="2">
        <v>15</v>
      </c>
      <c r="B16" s="2" t="s">
        <v>24</v>
      </c>
      <c r="C16" s="2">
        <v>53</v>
      </c>
      <c r="D16" s="6" t="s">
        <v>19</v>
      </c>
      <c r="E16" s="3">
        <f t="shared" si="2"/>
        <v>2.6086956521739131</v>
      </c>
      <c r="F16" s="3">
        <f t="shared" si="3"/>
        <v>242.75362318840581</v>
      </c>
      <c r="G16" s="3" t="str" cm="1">
        <f t="array" ref="G16">_xlfn.IFS(E16&gt;=2.5,"NLR&gt;=2.5",E16&lt;2.5,"NLR&lt;2.5")</f>
        <v>NLR&gt;=2.5</v>
      </c>
      <c r="H16" s="3" t="str" cm="1">
        <f t="array" ref="H16">_xlfn.IFS(F16&gt;=150,"PLR&gt;=150",F16&lt;150,"PLR&lt;150")</f>
        <v>PLR&gt;=150</v>
      </c>
      <c r="I16" s="2" t="s">
        <v>0</v>
      </c>
      <c r="J16" s="1">
        <v>1</v>
      </c>
      <c r="K16" s="3">
        <v>6000</v>
      </c>
      <c r="L16" s="3">
        <v>335000</v>
      </c>
      <c r="M16" s="3">
        <v>60</v>
      </c>
      <c r="N16" s="3">
        <v>23</v>
      </c>
      <c r="O16" s="3">
        <f t="shared" si="0"/>
        <v>1380</v>
      </c>
      <c r="P16" s="3">
        <f t="shared" si="1"/>
        <v>3600</v>
      </c>
    </row>
    <row r="17" spans="1:16" x14ac:dyDescent="0.25">
      <c r="A17" s="2">
        <v>16</v>
      </c>
      <c r="B17" s="2" t="s">
        <v>23</v>
      </c>
      <c r="C17" s="2">
        <v>53</v>
      </c>
      <c r="D17" s="6" t="s">
        <v>19</v>
      </c>
      <c r="E17" s="3">
        <f t="shared" si="2"/>
        <v>1.4615384615384615</v>
      </c>
      <c r="F17" s="3">
        <f t="shared" si="3"/>
        <v>123.65591397849462</v>
      </c>
      <c r="G17" s="3" t="str" cm="1">
        <f t="array" ref="G17">_xlfn.IFS(E17&gt;=2.5,"NLR&gt;=2.5",E17&lt;2.5,"NLR&lt;2.5")</f>
        <v>NLR&lt;2.5</v>
      </c>
      <c r="H17" s="3" t="str" cm="1">
        <f t="array" ref="H17">_xlfn.IFS(F17&gt;=150,"PLR&gt;=150",F17&lt;150,"PLR&lt;150")</f>
        <v>PLR&lt;150</v>
      </c>
      <c r="I17" s="2" t="s">
        <v>0</v>
      </c>
      <c r="J17" s="1">
        <v>1</v>
      </c>
      <c r="K17" s="3">
        <v>6200</v>
      </c>
      <c r="L17" s="3">
        <v>299000</v>
      </c>
      <c r="M17" s="3">
        <v>57</v>
      </c>
      <c r="N17" s="3">
        <v>39</v>
      </c>
      <c r="O17" s="3">
        <f t="shared" si="0"/>
        <v>2418</v>
      </c>
      <c r="P17" s="3">
        <f t="shared" si="1"/>
        <v>3533.9999999999995</v>
      </c>
    </row>
    <row r="18" spans="1:16" x14ac:dyDescent="0.25">
      <c r="A18" s="2">
        <v>17</v>
      </c>
      <c r="B18" s="2" t="s">
        <v>24</v>
      </c>
      <c r="C18" s="2">
        <v>60</v>
      </c>
      <c r="D18" s="6" t="s">
        <v>20</v>
      </c>
      <c r="E18" s="3">
        <f t="shared" si="2"/>
        <v>3.8888888888888888</v>
      </c>
      <c r="F18" s="3">
        <f t="shared" si="3"/>
        <v>256.41025641025641</v>
      </c>
      <c r="G18" s="3" t="str" cm="1">
        <f t="array" ref="G18">_xlfn.IFS(E18&gt;=2.5,"NLR&gt;=2.5",E18&lt;2.5,"NLR&lt;2.5")</f>
        <v>NLR&gt;=2.5</v>
      </c>
      <c r="H18" s="3" t="str" cm="1">
        <f t="array" ref="H18">_xlfn.IFS(F18&gt;=150,"PLR&gt;=150",F18&lt;150,"PLR&lt;150")</f>
        <v>PLR&gt;=150</v>
      </c>
      <c r="I18" s="2" t="s">
        <v>0</v>
      </c>
      <c r="J18" s="1">
        <v>1</v>
      </c>
      <c r="K18" s="3">
        <v>9360</v>
      </c>
      <c r="L18" s="3">
        <v>432000</v>
      </c>
      <c r="M18" s="3">
        <v>70</v>
      </c>
      <c r="N18" s="3">
        <v>18</v>
      </c>
      <c r="O18" s="3">
        <f t="shared" si="0"/>
        <v>1684.8</v>
      </c>
      <c r="P18" s="3">
        <f t="shared" si="1"/>
        <v>6552</v>
      </c>
    </row>
    <row r="19" spans="1:16" x14ac:dyDescent="0.25">
      <c r="A19" s="2">
        <v>18</v>
      </c>
      <c r="B19" s="2" t="s">
        <v>24</v>
      </c>
      <c r="C19" s="2">
        <v>52</v>
      </c>
      <c r="D19" s="6" t="s">
        <v>19</v>
      </c>
      <c r="E19" s="3">
        <f t="shared" si="2"/>
        <v>1.4864864864864864</v>
      </c>
      <c r="F19" s="3">
        <f t="shared" si="3"/>
        <v>76.076076076076077</v>
      </c>
      <c r="G19" s="3" t="str" cm="1">
        <f t="array" ref="G19">_xlfn.IFS(E19&gt;=2.5,"NLR&gt;=2.5",E19&lt;2.5,"NLR&lt;2.5")</f>
        <v>NLR&lt;2.5</v>
      </c>
      <c r="H19" s="3" t="str" cm="1">
        <f t="array" ref="H19">_xlfn.IFS(F19&gt;=150,"PLR&gt;=150",F19&lt;150,"PLR&lt;150")</f>
        <v>PLR&lt;150</v>
      </c>
      <c r="I19" s="2" t="s">
        <v>0</v>
      </c>
      <c r="J19" s="1">
        <v>1</v>
      </c>
      <c r="K19" s="3">
        <v>8100</v>
      </c>
      <c r="L19" s="3">
        <v>228000</v>
      </c>
      <c r="M19" s="3">
        <v>55</v>
      </c>
      <c r="N19" s="3">
        <v>37</v>
      </c>
      <c r="O19" s="3">
        <f t="shared" si="0"/>
        <v>2997</v>
      </c>
      <c r="P19" s="3">
        <f t="shared" si="1"/>
        <v>4455</v>
      </c>
    </row>
    <row r="20" spans="1:16" x14ac:dyDescent="0.25">
      <c r="A20" s="2">
        <v>19</v>
      </c>
      <c r="B20" s="2" t="s">
        <v>24</v>
      </c>
      <c r="C20" s="2">
        <v>51</v>
      </c>
      <c r="D20" s="6" t="s">
        <v>19</v>
      </c>
      <c r="E20" s="3">
        <f t="shared" si="2"/>
        <v>1.5294117647058822</v>
      </c>
      <c r="F20" s="3">
        <f t="shared" si="3"/>
        <v>127.45098039215685</v>
      </c>
      <c r="G20" s="3" t="str" cm="1">
        <f t="array" ref="G20">_xlfn.IFS(E20&gt;=2.5,"NLR&gt;=2.5",E20&lt;2.5,"NLR&lt;2.5")</f>
        <v>NLR&lt;2.5</v>
      </c>
      <c r="H20" s="3" t="str" cm="1">
        <f t="array" ref="H20">_xlfn.IFS(F20&gt;=150,"PLR&gt;=150",F20&lt;150,"PLR&lt;150")</f>
        <v>PLR&lt;150</v>
      </c>
      <c r="I20" s="2" t="s">
        <v>0</v>
      </c>
      <c r="J20" s="1">
        <v>1</v>
      </c>
      <c r="K20" s="3">
        <v>6000</v>
      </c>
      <c r="L20" s="3">
        <v>260000</v>
      </c>
      <c r="M20" s="3">
        <v>52</v>
      </c>
      <c r="N20" s="3">
        <v>34</v>
      </c>
      <c r="O20" s="3">
        <f t="shared" si="0"/>
        <v>2040.0000000000002</v>
      </c>
      <c r="P20" s="3">
        <f t="shared" si="1"/>
        <v>3120</v>
      </c>
    </row>
    <row r="21" spans="1:16" x14ac:dyDescent="0.25">
      <c r="A21" s="2">
        <v>20</v>
      </c>
      <c r="B21" s="2" t="s">
        <v>23</v>
      </c>
      <c r="C21" s="2">
        <v>46</v>
      </c>
      <c r="D21" s="6" t="s">
        <v>18</v>
      </c>
      <c r="E21" s="3">
        <f t="shared" si="2"/>
        <v>3.7894736842105261</v>
      </c>
      <c r="F21" s="3">
        <f t="shared" si="3"/>
        <v>401.60183066361554</v>
      </c>
      <c r="G21" s="3" t="str" cm="1">
        <f t="array" ref="G21">_xlfn.IFS(E21&gt;=2.5,"NLR&gt;=2.5",E21&lt;2.5,"NLR&lt;2.5")</f>
        <v>NLR&gt;=2.5</v>
      </c>
      <c r="H21" s="3" t="str" cm="1">
        <f t="array" ref="H21">_xlfn.IFS(F21&gt;=150,"PLR&gt;=150",F21&lt;150,"PLR&lt;150")</f>
        <v>PLR&gt;=150</v>
      </c>
      <c r="I21" s="2" t="s">
        <v>0</v>
      </c>
      <c r="J21" s="1">
        <v>1</v>
      </c>
      <c r="K21" s="3">
        <v>9200</v>
      </c>
      <c r="L21" s="3">
        <v>702000</v>
      </c>
      <c r="M21" s="3">
        <v>72</v>
      </c>
      <c r="N21" s="3">
        <v>19</v>
      </c>
      <c r="O21" s="3">
        <f t="shared" si="0"/>
        <v>1748</v>
      </c>
      <c r="P21" s="3">
        <f t="shared" si="1"/>
        <v>6624</v>
      </c>
    </row>
    <row r="22" spans="1:16" x14ac:dyDescent="0.25">
      <c r="A22" s="2">
        <v>21</v>
      </c>
      <c r="B22" s="2" t="s">
        <v>23</v>
      </c>
      <c r="C22" s="2">
        <v>63</v>
      </c>
      <c r="D22" s="6" t="s">
        <v>20</v>
      </c>
      <c r="E22" s="3">
        <f t="shared" si="2"/>
        <v>1.4054054054054055</v>
      </c>
      <c r="F22" s="3">
        <f t="shared" si="3"/>
        <v>111.66429587482219</v>
      </c>
      <c r="G22" s="3" t="str" cm="1">
        <f t="array" ref="G22">_xlfn.IFS(E22&gt;=2.5,"NLR&gt;=2.5",E22&lt;2.5,"NLR&lt;2.5")</f>
        <v>NLR&lt;2.5</v>
      </c>
      <c r="H22" s="3" t="str" cm="1">
        <f t="array" ref="H22">_xlfn.IFS(F22&gt;=150,"PLR&gt;=150",F22&lt;150,"PLR&lt;150")</f>
        <v>PLR&lt;150</v>
      </c>
      <c r="I22" s="2" t="s">
        <v>0</v>
      </c>
      <c r="J22" s="1">
        <v>1</v>
      </c>
      <c r="K22" s="3">
        <v>7600</v>
      </c>
      <c r="L22" s="3">
        <v>314000</v>
      </c>
      <c r="M22" s="3">
        <v>52</v>
      </c>
      <c r="N22" s="3">
        <v>37</v>
      </c>
      <c r="O22" s="3">
        <f t="shared" si="0"/>
        <v>2812</v>
      </c>
      <c r="P22" s="3">
        <f t="shared" si="1"/>
        <v>3952</v>
      </c>
    </row>
    <row r="23" spans="1:16" x14ac:dyDescent="0.25">
      <c r="A23" s="2">
        <v>22</v>
      </c>
      <c r="B23" s="2" t="s">
        <v>24</v>
      </c>
      <c r="C23" s="2">
        <v>44</v>
      </c>
      <c r="D23" s="6" t="s">
        <v>18</v>
      </c>
      <c r="E23" s="3">
        <f t="shared" si="2"/>
        <v>1.6451612903225807</v>
      </c>
      <c r="F23" s="3">
        <f t="shared" si="3"/>
        <v>161.81061394380853</v>
      </c>
      <c r="G23" s="3" t="str" cm="1">
        <f t="array" ref="G23">_xlfn.IFS(E23&gt;=2.5,"NLR&gt;=2.5",E23&lt;2.5,"NLR&lt;2.5")</f>
        <v>NLR&lt;2.5</v>
      </c>
      <c r="H23" s="3" t="str" cm="1">
        <f t="array" ref="H23">_xlfn.IFS(F23&gt;=150,"PLR&gt;=150",F23&lt;150,"PLR&lt;150")</f>
        <v>PLR&gt;=150</v>
      </c>
      <c r="I23" s="2" t="s">
        <v>0</v>
      </c>
      <c r="J23" s="1">
        <v>1</v>
      </c>
      <c r="K23" s="3">
        <v>6200</v>
      </c>
      <c r="L23" s="3">
        <v>311000</v>
      </c>
      <c r="M23" s="3">
        <v>51</v>
      </c>
      <c r="N23" s="3">
        <v>31</v>
      </c>
      <c r="O23" s="3">
        <f t="shared" si="0"/>
        <v>1922</v>
      </c>
      <c r="P23" s="3">
        <f t="shared" si="1"/>
        <v>3162</v>
      </c>
    </row>
    <row r="24" spans="1:16" x14ac:dyDescent="0.25">
      <c r="A24" s="2">
        <v>23</v>
      </c>
      <c r="B24" s="2" t="s">
        <v>24</v>
      </c>
      <c r="C24" s="2">
        <v>54</v>
      </c>
      <c r="D24" s="6" t="s">
        <v>19</v>
      </c>
      <c r="E24" s="3">
        <f t="shared" si="2"/>
        <v>4.1764705882352944</v>
      </c>
      <c r="F24" s="3">
        <f t="shared" si="3"/>
        <v>149.66492926284437</v>
      </c>
      <c r="G24" s="3" t="str" cm="1">
        <f t="array" ref="G24">_xlfn.IFS(E24&gt;=2.5,"NLR&gt;=2.5",E24&lt;2.5,"NLR&lt;2.5")</f>
        <v>NLR&gt;=2.5</v>
      </c>
      <c r="H24" s="3" t="str" cm="1">
        <f t="array" ref="H24">_xlfn.IFS(F24&gt;=150,"PLR&gt;=150",F24&lt;150,"PLR&lt;150")</f>
        <v>PLR&lt;150</v>
      </c>
      <c r="I24" s="2" t="s">
        <v>0</v>
      </c>
      <c r="J24" s="1">
        <v>1</v>
      </c>
      <c r="K24" s="3">
        <v>7900</v>
      </c>
      <c r="L24" s="3">
        <v>201000</v>
      </c>
      <c r="M24" s="3">
        <v>71</v>
      </c>
      <c r="N24" s="3">
        <v>17</v>
      </c>
      <c r="O24" s="3">
        <f t="shared" si="0"/>
        <v>1343</v>
      </c>
      <c r="P24" s="3">
        <f t="shared" si="1"/>
        <v>5609</v>
      </c>
    </row>
    <row r="25" spans="1:16" x14ac:dyDescent="0.25">
      <c r="A25" s="2">
        <v>24</v>
      </c>
      <c r="B25" s="2" t="s">
        <v>24</v>
      </c>
      <c r="C25" s="2">
        <v>66</v>
      </c>
      <c r="D25" s="6" t="s">
        <v>20</v>
      </c>
      <c r="E25" s="3">
        <f t="shared" si="2"/>
        <v>8.1</v>
      </c>
      <c r="F25" s="3">
        <f t="shared" si="3"/>
        <v>276.42276422764229</v>
      </c>
      <c r="G25" s="3" t="str" cm="1">
        <f t="array" ref="G25">_xlfn.IFS(E25&gt;=2.5,"NLR&gt;=2.5",E25&lt;2.5,"NLR&lt;2.5")</f>
        <v>NLR&gt;=2.5</v>
      </c>
      <c r="H25" s="3" t="str" cm="1">
        <f t="array" ref="H25">_xlfn.IFS(F25&gt;=150,"PLR&gt;=150",F25&lt;150,"PLR&lt;150")</f>
        <v>PLR&gt;=150</v>
      </c>
      <c r="I25" s="2" t="s">
        <v>0</v>
      </c>
      <c r="J25" s="1">
        <v>1</v>
      </c>
      <c r="K25" s="3">
        <v>12300</v>
      </c>
      <c r="L25" s="3">
        <v>340000</v>
      </c>
      <c r="M25" s="3">
        <v>81</v>
      </c>
      <c r="N25" s="3">
        <v>10</v>
      </c>
      <c r="O25" s="3">
        <f t="shared" si="0"/>
        <v>1230</v>
      </c>
      <c r="P25" s="3">
        <f t="shared" si="1"/>
        <v>9963</v>
      </c>
    </row>
    <row r="26" spans="1:16" x14ac:dyDescent="0.25">
      <c r="A26" s="2">
        <v>25</v>
      </c>
      <c r="B26" s="2" t="s">
        <v>24</v>
      </c>
      <c r="C26" s="2">
        <v>29</v>
      </c>
      <c r="D26" s="6" t="s">
        <v>16</v>
      </c>
      <c r="E26" s="3">
        <f t="shared" si="2"/>
        <v>1.3000000000000003</v>
      </c>
      <c r="F26" s="3">
        <f t="shared" si="3"/>
        <v>141.17291414752117</v>
      </c>
      <c r="G26" s="3" t="str" cm="1">
        <f t="array" ref="G26">_xlfn.IFS(E26&gt;=2.5,"NLR&gt;=2.5",E26&lt;2.5,"NLR&lt;2.5")</f>
        <v>NLR&lt;2.5</v>
      </c>
      <c r="H26" s="3" t="str" cm="1">
        <f t="array" ref="H26">_xlfn.IFS(F26&gt;=150,"PLR&gt;=150",F26&lt;150,"PLR&lt;150")</f>
        <v>PLR&lt;150</v>
      </c>
      <c r="I26" s="2" t="s">
        <v>0</v>
      </c>
      <c r="J26" s="1">
        <v>1</v>
      </c>
      <c r="K26" s="3">
        <v>8270</v>
      </c>
      <c r="L26" s="3">
        <v>467000</v>
      </c>
      <c r="M26" s="3">
        <v>52</v>
      </c>
      <c r="N26" s="3">
        <v>40</v>
      </c>
      <c r="O26" s="3">
        <f t="shared" si="0"/>
        <v>3308</v>
      </c>
      <c r="P26" s="3">
        <f t="shared" si="1"/>
        <v>4300.4000000000005</v>
      </c>
    </row>
    <row r="27" spans="1:16" x14ac:dyDescent="0.25">
      <c r="A27" s="2">
        <v>26</v>
      </c>
      <c r="B27" s="2" t="s">
        <v>24</v>
      </c>
      <c r="C27" s="2">
        <v>65</v>
      </c>
      <c r="D27" s="6" t="s">
        <v>20</v>
      </c>
      <c r="E27" s="3">
        <f t="shared" si="2"/>
        <v>4.9333333333333336</v>
      </c>
      <c r="F27" s="3">
        <f t="shared" si="3"/>
        <v>184.12698412698413</v>
      </c>
      <c r="G27" s="3" t="str" cm="1">
        <f t="array" ref="G27">_xlfn.IFS(E27&gt;=2.5,"NLR&gt;=2.5",E27&lt;2.5,"NLR&lt;2.5")</f>
        <v>NLR&gt;=2.5</v>
      </c>
      <c r="H27" s="3" t="str" cm="1">
        <f t="array" ref="H27">_xlfn.IFS(F27&gt;=150,"PLR&gt;=150",F27&lt;150,"PLR&lt;150")</f>
        <v>PLR&gt;=150</v>
      </c>
      <c r="I27" s="2" t="s">
        <v>0</v>
      </c>
      <c r="J27" s="1">
        <v>1</v>
      </c>
      <c r="K27" s="3">
        <v>7350</v>
      </c>
      <c r="L27" s="3">
        <v>203000</v>
      </c>
      <c r="M27" s="3">
        <v>74</v>
      </c>
      <c r="N27" s="3">
        <v>15</v>
      </c>
      <c r="O27" s="3">
        <f t="shared" si="0"/>
        <v>1102.5</v>
      </c>
      <c r="P27" s="3">
        <f t="shared" si="1"/>
        <v>5439</v>
      </c>
    </row>
    <row r="28" spans="1:16" x14ac:dyDescent="0.25">
      <c r="A28" s="2">
        <v>27</v>
      </c>
      <c r="B28" s="2" t="s">
        <v>23</v>
      </c>
      <c r="C28" s="2">
        <v>52</v>
      </c>
      <c r="D28" s="6" t="s">
        <v>19</v>
      </c>
      <c r="E28" s="3">
        <f t="shared" si="2"/>
        <v>9.2222222222222214</v>
      </c>
      <c r="F28" s="3">
        <f t="shared" si="3"/>
        <v>628.35249042145597</v>
      </c>
      <c r="G28" s="3" t="str" cm="1">
        <f t="array" ref="G28">_xlfn.IFS(E28&gt;=2.5,"NLR&gt;=2.5",E28&lt;2.5,"NLR&lt;2.5")</f>
        <v>NLR&gt;=2.5</v>
      </c>
      <c r="H28" s="3" t="str" cm="1">
        <f t="array" ref="H28">_xlfn.IFS(F28&gt;=150,"PLR&gt;=150",F28&lt;150,"PLR&lt;150")</f>
        <v>PLR&gt;=150</v>
      </c>
      <c r="I28" s="2" t="s">
        <v>0</v>
      </c>
      <c r="J28" s="1">
        <v>1</v>
      </c>
      <c r="K28" s="3">
        <v>8700</v>
      </c>
      <c r="L28" s="3">
        <v>492000</v>
      </c>
      <c r="M28" s="3">
        <v>83</v>
      </c>
      <c r="N28" s="3">
        <v>9</v>
      </c>
      <c r="O28" s="3">
        <f t="shared" si="0"/>
        <v>783</v>
      </c>
      <c r="P28" s="3">
        <f t="shared" si="1"/>
        <v>7221</v>
      </c>
    </row>
    <row r="29" spans="1:16" x14ac:dyDescent="0.25">
      <c r="A29" s="2">
        <v>28</v>
      </c>
      <c r="B29" s="2" t="s">
        <v>24</v>
      </c>
      <c r="C29" s="2">
        <v>56</v>
      </c>
      <c r="D29" s="6" t="s">
        <v>19</v>
      </c>
      <c r="E29" s="3">
        <f t="shared" si="2"/>
        <v>7.0909090909090908</v>
      </c>
      <c r="F29" s="3">
        <f>L29/O29</f>
        <v>301.26078301260782</v>
      </c>
      <c r="G29" s="3" t="str" cm="1">
        <f t="array" ref="G29">_xlfn.IFS(E29&gt;=2.5,"NLR&gt;=2.5",E29&lt;2.5,"NLR&lt;2.5")</f>
        <v>NLR&gt;=2.5</v>
      </c>
      <c r="H29" s="3" t="str" cm="1">
        <f t="array" ref="H29">_xlfn.IFS(F29&gt;=150,"PLR&gt;=150",F29&lt;150,"PLR&lt;150")</f>
        <v>PLR&gt;=150</v>
      </c>
      <c r="I29" s="2" t="s">
        <v>0</v>
      </c>
      <c r="J29" s="1">
        <v>1</v>
      </c>
      <c r="K29" s="3">
        <v>13700</v>
      </c>
      <c r="L29" s="3">
        <v>454000</v>
      </c>
      <c r="M29" s="3">
        <v>78</v>
      </c>
      <c r="N29" s="3">
        <v>11</v>
      </c>
      <c r="O29" s="3">
        <f t="shared" si="0"/>
        <v>1507</v>
      </c>
      <c r="P29" s="3">
        <f t="shared" si="1"/>
        <v>10686</v>
      </c>
    </row>
    <row r="30" spans="1:16" s="16" customFormat="1" x14ac:dyDescent="0.25">
      <c r="A30" s="12">
        <v>29</v>
      </c>
      <c r="B30" s="12" t="s">
        <v>24</v>
      </c>
      <c r="C30" s="12">
        <v>53</v>
      </c>
      <c r="D30" s="13" t="s">
        <v>19</v>
      </c>
      <c r="E30" s="14">
        <f t="shared" si="2"/>
        <v>1.8539682539682538</v>
      </c>
      <c r="F30" s="14">
        <f>L30/O30</f>
        <v>156.8986568986569</v>
      </c>
      <c r="G30" s="14" t="str" cm="1">
        <f t="array" ref="G30">_xlfn.IFS(E30&gt;=2.5,"NLR&gt;=2.5",E30&lt;2.5,"NLR&lt;2.5")</f>
        <v>NLR&lt;2.5</v>
      </c>
      <c r="H30" s="14" t="str" cm="1">
        <f t="array" ref="H30">_xlfn.IFS(F30&gt;=150,"PLR&gt;=150",F30&lt;150,"PLR&lt;150")</f>
        <v>PLR&gt;=150</v>
      </c>
      <c r="I30" s="12" t="s">
        <v>0</v>
      </c>
      <c r="J30" s="15">
        <v>1</v>
      </c>
      <c r="K30" s="14">
        <v>5200</v>
      </c>
      <c r="L30" s="14">
        <v>257000</v>
      </c>
      <c r="M30" s="14">
        <v>58.4</v>
      </c>
      <c r="N30" s="14">
        <v>31.5</v>
      </c>
      <c r="O30" s="14">
        <f t="shared" si="0"/>
        <v>1638</v>
      </c>
      <c r="P30" s="14">
        <f t="shared" si="1"/>
        <v>3036.7999999999997</v>
      </c>
    </row>
    <row r="31" spans="1:16" x14ac:dyDescent="0.25">
      <c r="A31" s="2">
        <v>30</v>
      </c>
      <c r="B31" s="2" t="s">
        <v>24</v>
      </c>
      <c r="C31" s="2">
        <v>64</v>
      </c>
      <c r="D31" s="6" t="s">
        <v>20</v>
      </c>
      <c r="E31" s="3">
        <f t="shared" si="2"/>
        <v>2.1428571428571428</v>
      </c>
      <c r="F31" s="3">
        <f t="shared" si="3"/>
        <v>119.93207386966674</v>
      </c>
      <c r="G31" s="3" t="str" cm="1">
        <f t="array" ref="G31">_xlfn.IFS(E31&gt;=2.5,"NLR&gt;=2.5",E31&lt;2.5,"NLR&lt;2.5")</f>
        <v>NLR&lt;2.5</v>
      </c>
      <c r="H31" s="3" t="str" cm="1">
        <f t="array" ref="H31">_xlfn.IFS(F31&gt;=150,"PLR&gt;=150",F31&lt;150,"PLR&lt;150")</f>
        <v>PLR&lt;150</v>
      </c>
      <c r="I31" s="2" t="s">
        <v>0</v>
      </c>
      <c r="J31" s="1">
        <v>1</v>
      </c>
      <c r="K31" s="3">
        <v>6730</v>
      </c>
      <c r="L31" s="3">
        <v>226000</v>
      </c>
      <c r="M31" s="3">
        <v>60</v>
      </c>
      <c r="N31" s="3">
        <v>28</v>
      </c>
      <c r="O31" s="3">
        <f t="shared" si="0"/>
        <v>1884.4</v>
      </c>
      <c r="P31" s="3">
        <f t="shared" si="1"/>
        <v>4038</v>
      </c>
    </row>
    <row r="32" spans="1:16" x14ac:dyDescent="0.25">
      <c r="A32" s="2">
        <v>31</v>
      </c>
      <c r="B32" s="2" t="s">
        <v>23</v>
      </c>
      <c r="C32" s="2">
        <v>68</v>
      </c>
      <c r="D32" s="6" t="s">
        <v>20</v>
      </c>
      <c r="E32" s="3">
        <f t="shared" si="2"/>
        <v>1.1891891891891893</v>
      </c>
      <c r="F32" s="3">
        <f t="shared" si="3"/>
        <v>93.468468468468473</v>
      </c>
      <c r="G32" s="3" t="str" cm="1">
        <f t="array" ref="G32">_xlfn.IFS(E32&gt;=2.5,"NLR&gt;=2.5",E32&lt;2.5,"NLR&lt;2.5")</f>
        <v>NLR&lt;2.5</v>
      </c>
      <c r="H32" s="3" t="str" cm="1">
        <f t="array" ref="H32">_xlfn.IFS(F32&gt;=150,"PLR&gt;=150",F32&lt;150,"PLR&lt;150")</f>
        <v>PLR&lt;150</v>
      </c>
      <c r="I32" s="2" t="s">
        <v>0</v>
      </c>
      <c r="J32" s="1">
        <v>1</v>
      </c>
      <c r="K32" s="3">
        <v>7200</v>
      </c>
      <c r="L32" s="3">
        <v>249000</v>
      </c>
      <c r="M32" s="3">
        <v>44</v>
      </c>
      <c r="N32" s="3">
        <v>37</v>
      </c>
      <c r="O32" s="3">
        <f t="shared" si="0"/>
        <v>2664</v>
      </c>
      <c r="P32" s="3">
        <f t="shared" si="1"/>
        <v>3168</v>
      </c>
    </row>
    <row r="33" spans="1:16" x14ac:dyDescent="0.25">
      <c r="A33" s="2">
        <v>32</v>
      </c>
      <c r="B33" s="2" t="s">
        <v>24</v>
      </c>
      <c r="C33" s="2">
        <v>51</v>
      </c>
      <c r="D33" s="6" t="s">
        <v>19</v>
      </c>
      <c r="E33" s="3">
        <f t="shared" si="2"/>
        <v>1.4705882352941178</v>
      </c>
      <c r="F33" s="3">
        <f t="shared" si="3"/>
        <v>80.147058823529406</v>
      </c>
      <c r="G33" s="3" t="str" cm="1">
        <f t="array" ref="G33">_xlfn.IFS(E33&gt;=2.5,"NLR&gt;=2.5",E33&lt;2.5,"NLR&lt;2.5")</f>
        <v>NLR&lt;2.5</v>
      </c>
      <c r="H33" s="3" t="str" cm="1">
        <f t="array" ref="H33">_xlfn.IFS(F33&gt;=150,"PLR&gt;=150",F33&lt;150,"PLR&lt;150")</f>
        <v>PLR&lt;150</v>
      </c>
      <c r="I33" s="2" t="s">
        <v>0</v>
      </c>
      <c r="J33" s="1">
        <v>1</v>
      </c>
      <c r="K33" s="3">
        <v>8000</v>
      </c>
      <c r="L33" s="3">
        <v>218000</v>
      </c>
      <c r="M33" s="3">
        <v>50</v>
      </c>
      <c r="N33" s="3">
        <v>34</v>
      </c>
      <c r="O33" s="3">
        <f t="shared" si="0"/>
        <v>2720</v>
      </c>
      <c r="P33" s="3">
        <f t="shared" si="1"/>
        <v>4000</v>
      </c>
    </row>
    <row r="34" spans="1:16" x14ac:dyDescent="0.25">
      <c r="A34" s="2">
        <v>33</v>
      </c>
      <c r="B34" s="2" t="s">
        <v>24</v>
      </c>
      <c r="C34" s="2">
        <v>44</v>
      </c>
      <c r="D34" s="6" t="s">
        <v>18</v>
      </c>
      <c r="E34" s="3">
        <f t="shared" si="2"/>
        <v>1.696969696969697</v>
      </c>
      <c r="F34" s="3">
        <f t="shared" si="3"/>
        <v>94.604582409460463</v>
      </c>
      <c r="G34" s="3" t="str" cm="1">
        <f t="array" ref="G34">_xlfn.IFS(E34&gt;=2.5,"NLR&gt;=2.5",E34&lt;2.5,"NLR&lt;2.5")</f>
        <v>NLR&lt;2.5</v>
      </c>
      <c r="H34" s="3" t="str" cm="1">
        <f t="array" ref="H34">_xlfn.IFS(F34&gt;=150,"PLR&gt;=150",F34&lt;150,"PLR&lt;150")</f>
        <v>PLR&lt;150</v>
      </c>
      <c r="I34" s="2" t="s">
        <v>0</v>
      </c>
      <c r="J34" s="1">
        <v>1</v>
      </c>
      <c r="K34" s="3">
        <v>8200</v>
      </c>
      <c r="L34" s="3">
        <v>256000</v>
      </c>
      <c r="M34" s="3">
        <v>56</v>
      </c>
      <c r="N34" s="3">
        <v>33</v>
      </c>
      <c r="O34" s="3">
        <f t="shared" si="0"/>
        <v>2706</v>
      </c>
      <c r="P34" s="3">
        <f t="shared" si="1"/>
        <v>4592</v>
      </c>
    </row>
    <row r="35" spans="1:16" x14ac:dyDescent="0.25">
      <c r="A35" s="2">
        <v>34</v>
      </c>
      <c r="B35" s="2" t="s">
        <v>24</v>
      </c>
      <c r="C35" s="2">
        <v>56</v>
      </c>
      <c r="D35" s="6" t="s">
        <v>19</v>
      </c>
      <c r="E35" s="3">
        <f t="shared" si="2"/>
        <v>0.18055555555555555</v>
      </c>
      <c r="F35" s="3">
        <f t="shared" si="3"/>
        <v>56.356837606837608</v>
      </c>
      <c r="G35" s="3" t="str" cm="1">
        <f t="array" ref="G35">_xlfn.IFS(E35&gt;=2.5,"NLR&gt;=2.5",E35&lt;2.5,"NLR&lt;2.5")</f>
        <v>NLR&lt;2.5</v>
      </c>
      <c r="H35" s="3" t="str" cm="1">
        <f t="array" ref="H35">_xlfn.IFS(F35&gt;=150,"PLR&gt;=150",F35&lt;150,"PLR&lt;150")</f>
        <v>PLR&lt;150</v>
      </c>
      <c r="I35" s="2" t="s">
        <v>0</v>
      </c>
      <c r="J35" s="1">
        <v>1</v>
      </c>
      <c r="K35" s="3">
        <v>5200</v>
      </c>
      <c r="L35" s="3">
        <v>211000</v>
      </c>
      <c r="M35" s="3">
        <v>13</v>
      </c>
      <c r="N35" s="3">
        <v>72</v>
      </c>
      <c r="O35" s="3">
        <f t="shared" si="0"/>
        <v>3744</v>
      </c>
      <c r="P35" s="3">
        <f t="shared" si="1"/>
        <v>676</v>
      </c>
    </row>
    <row r="36" spans="1:16" x14ac:dyDescent="0.25">
      <c r="A36" s="2">
        <v>35</v>
      </c>
      <c r="B36" s="2" t="s">
        <v>23</v>
      </c>
      <c r="C36" s="2">
        <v>66</v>
      </c>
      <c r="D36" s="6" t="s">
        <v>20</v>
      </c>
      <c r="E36" s="3">
        <f t="shared" si="2"/>
        <v>6.583333333333333</v>
      </c>
      <c r="F36" s="3">
        <f t="shared" si="3"/>
        <v>320.83333333333331</v>
      </c>
      <c r="G36" s="3" t="str" cm="1">
        <f t="array" ref="G36">_xlfn.IFS(E36&gt;=2.5,"NLR&gt;=2.5",E36&lt;2.5,"NLR&lt;2.5")</f>
        <v>NLR&gt;=2.5</v>
      </c>
      <c r="H36" s="3" t="str" cm="1">
        <f t="array" ref="H36">_xlfn.IFS(F36&gt;=150,"PLR&gt;=150",F36&lt;150,"PLR&lt;150")</f>
        <v>PLR&gt;=150</v>
      </c>
      <c r="I36" s="2" t="s">
        <v>0</v>
      </c>
      <c r="J36" s="1">
        <v>1</v>
      </c>
      <c r="K36" s="3">
        <v>8000</v>
      </c>
      <c r="L36" s="3">
        <v>308000</v>
      </c>
      <c r="M36" s="3">
        <v>79</v>
      </c>
      <c r="N36" s="3">
        <v>12</v>
      </c>
      <c r="O36" s="3">
        <f t="shared" si="0"/>
        <v>960</v>
      </c>
      <c r="P36" s="3">
        <f t="shared" si="1"/>
        <v>6320</v>
      </c>
    </row>
    <row r="37" spans="1:16" x14ac:dyDescent="0.25">
      <c r="A37" s="2">
        <v>36</v>
      </c>
      <c r="B37" s="2" t="s">
        <v>23</v>
      </c>
      <c r="C37" s="2">
        <v>63</v>
      </c>
      <c r="D37" s="6" t="s">
        <v>20</v>
      </c>
      <c r="E37" s="3">
        <f t="shared" si="2"/>
        <v>2.3214285714285712</v>
      </c>
      <c r="F37" s="3">
        <f t="shared" si="3"/>
        <v>110.32531824611031</v>
      </c>
      <c r="G37" s="3" t="str" cm="1">
        <f t="array" ref="G37">_xlfn.IFS(E37&gt;=2.5,"NLR&gt;=2.5",E37&lt;2.5,"NLR&lt;2.5")</f>
        <v>NLR&lt;2.5</v>
      </c>
      <c r="H37" s="3" t="str" cm="1">
        <f t="array" ref="H37">_xlfn.IFS(F37&gt;=150,"PLR&gt;=150",F37&lt;150,"PLR&lt;150")</f>
        <v>PLR&lt;150</v>
      </c>
      <c r="I37" s="2" t="s">
        <v>0</v>
      </c>
      <c r="J37" s="1">
        <v>1</v>
      </c>
      <c r="K37" s="3">
        <v>10100</v>
      </c>
      <c r="L37" s="3">
        <v>312000</v>
      </c>
      <c r="M37" s="3">
        <v>65</v>
      </c>
      <c r="N37" s="3">
        <v>28</v>
      </c>
      <c r="O37" s="3">
        <f t="shared" si="0"/>
        <v>2828.0000000000005</v>
      </c>
      <c r="P37" s="3">
        <f t="shared" si="1"/>
        <v>6565</v>
      </c>
    </row>
    <row r="38" spans="1:16" x14ac:dyDescent="0.25">
      <c r="A38" s="2">
        <v>37</v>
      </c>
      <c r="B38" s="2" t="s">
        <v>24</v>
      </c>
      <c r="C38" s="2">
        <v>68</v>
      </c>
      <c r="D38" s="6" t="s">
        <v>20</v>
      </c>
      <c r="E38" s="3">
        <f t="shared" si="2"/>
        <v>2.8636363636363638</v>
      </c>
      <c r="F38" s="3">
        <f t="shared" si="3"/>
        <v>141.92949907235621</v>
      </c>
      <c r="G38" s="3" t="str" cm="1">
        <f t="array" ref="G38">_xlfn.IFS(E38&gt;=2.5,"NLR&gt;=2.5",E38&lt;2.5,"NLR&lt;2.5")</f>
        <v>NLR&gt;=2.5</v>
      </c>
      <c r="H38" s="3" t="str" cm="1">
        <f t="array" ref="H38">_xlfn.IFS(F38&gt;=150,"PLR&gt;=150",F38&lt;150,"PLR&lt;150")</f>
        <v>PLR&lt;150</v>
      </c>
      <c r="I38" s="2" t="s">
        <v>0</v>
      </c>
      <c r="J38" s="1">
        <v>1</v>
      </c>
      <c r="K38" s="3">
        <v>4900</v>
      </c>
      <c r="L38" s="3">
        <v>153000</v>
      </c>
      <c r="M38" s="3">
        <v>63</v>
      </c>
      <c r="N38" s="3">
        <v>22</v>
      </c>
      <c r="O38" s="3">
        <f t="shared" si="0"/>
        <v>1078</v>
      </c>
      <c r="P38" s="3">
        <f t="shared" si="1"/>
        <v>3087</v>
      </c>
    </row>
    <row r="39" spans="1:16" x14ac:dyDescent="0.25">
      <c r="A39" s="2">
        <v>38</v>
      </c>
      <c r="B39" s="2" t="s">
        <v>24</v>
      </c>
      <c r="C39" s="2">
        <v>53</v>
      </c>
      <c r="D39" s="6" t="s">
        <v>19</v>
      </c>
      <c r="E39" s="3">
        <f t="shared" si="2"/>
        <v>4</v>
      </c>
      <c r="F39" s="3">
        <f t="shared" si="3"/>
        <v>163.10005783689994</v>
      </c>
      <c r="G39" s="3" t="str" cm="1">
        <f t="array" ref="G39">_xlfn.IFS(E39&gt;=2.5,"NLR&gt;=2.5",E39&lt;2.5,"NLR&lt;2.5")</f>
        <v>NLR&gt;=2.5</v>
      </c>
      <c r="H39" s="3" t="str" cm="1">
        <f t="array" ref="H39">_xlfn.IFS(F39&gt;=150,"PLR&gt;=150",F39&lt;150,"PLR&lt;150")</f>
        <v>PLR&gt;=150</v>
      </c>
      <c r="I39" s="2" t="s">
        <v>0</v>
      </c>
      <c r="J39" s="1">
        <v>1</v>
      </c>
      <c r="K39" s="3">
        <v>9100</v>
      </c>
      <c r="L39" s="3">
        <v>282000</v>
      </c>
      <c r="M39" s="3">
        <v>76</v>
      </c>
      <c r="N39" s="3">
        <v>19</v>
      </c>
      <c r="O39" s="3">
        <f t="shared" si="0"/>
        <v>1729</v>
      </c>
      <c r="P39" s="3">
        <f t="shared" si="1"/>
        <v>6916</v>
      </c>
    </row>
    <row r="40" spans="1:16" x14ac:dyDescent="0.25">
      <c r="A40" s="2">
        <v>39</v>
      </c>
      <c r="B40" s="2" t="s">
        <v>24</v>
      </c>
      <c r="C40" s="2">
        <v>73</v>
      </c>
      <c r="D40" s="6" t="s">
        <v>21</v>
      </c>
      <c r="E40" s="3">
        <f t="shared" si="2"/>
        <v>1.8275862068965518</v>
      </c>
      <c r="F40" s="3">
        <f t="shared" si="3"/>
        <v>107.6421248835042</v>
      </c>
      <c r="G40" s="3" t="str" cm="1">
        <f t="array" ref="G40">_xlfn.IFS(E40&gt;=2.5,"NLR&gt;=2.5",E40&lt;2.5,"NLR&lt;2.5")</f>
        <v>NLR&lt;2.5</v>
      </c>
      <c r="H40" s="3" t="str" cm="1">
        <f t="array" ref="H40">_xlfn.IFS(F40&gt;=150,"PLR&gt;=150",F40&lt;150,"PLR&lt;150")</f>
        <v>PLR&lt;150</v>
      </c>
      <c r="I40" s="2" t="s">
        <v>0</v>
      </c>
      <c r="J40" s="1">
        <v>1</v>
      </c>
      <c r="K40" s="3">
        <v>7400</v>
      </c>
      <c r="L40" s="3">
        <v>231000</v>
      </c>
      <c r="M40" s="3">
        <v>53</v>
      </c>
      <c r="N40" s="3">
        <v>29</v>
      </c>
      <c r="O40" s="3">
        <f t="shared" si="0"/>
        <v>2146</v>
      </c>
      <c r="P40" s="3">
        <f t="shared" si="1"/>
        <v>3922</v>
      </c>
    </row>
    <row r="41" spans="1:16" x14ac:dyDescent="0.25">
      <c r="A41" s="2">
        <v>40</v>
      </c>
      <c r="B41" s="2" t="s">
        <v>23</v>
      </c>
      <c r="C41" s="2">
        <v>46</v>
      </c>
      <c r="D41" s="6" t="s">
        <v>18</v>
      </c>
      <c r="E41" s="3">
        <f t="shared" si="2"/>
        <v>1.5555555555555558</v>
      </c>
      <c r="F41" s="3">
        <f t="shared" si="3"/>
        <v>104.32098765432099</v>
      </c>
      <c r="G41" s="3" t="str" cm="1">
        <f t="array" ref="G41">_xlfn.IFS(E41&gt;=2.5,"NLR&gt;=2.5",E41&lt;2.5,"NLR&lt;2.5")</f>
        <v>NLR&lt;2.5</v>
      </c>
      <c r="H41" s="3" t="str" cm="1">
        <f t="array" ref="H41">_xlfn.IFS(F41&gt;=150,"PLR&gt;=150",F41&lt;150,"PLR&lt;150")</f>
        <v>PLR&lt;150</v>
      </c>
      <c r="I41" s="2" t="s">
        <v>0</v>
      </c>
      <c r="J41" s="1">
        <v>1</v>
      </c>
      <c r="K41" s="3">
        <v>9000</v>
      </c>
      <c r="L41" s="3">
        <v>338000</v>
      </c>
      <c r="M41" s="3">
        <v>56</v>
      </c>
      <c r="N41" s="3">
        <v>36</v>
      </c>
      <c r="O41" s="3">
        <f t="shared" si="0"/>
        <v>3240</v>
      </c>
      <c r="P41" s="3">
        <f t="shared" si="1"/>
        <v>5040.0000000000009</v>
      </c>
    </row>
    <row r="42" spans="1:16" x14ac:dyDescent="0.25">
      <c r="A42" s="2">
        <v>41</v>
      </c>
      <c r="B42" s="2" t="s">
        <v>23</v>
      </c>
      <c r="C42" s="2">
        <v>48</v>
      </c>
      <c r="D42" s="6" t="s">
        <v>18</v>
      </c>
      <c r="E42" s="3">
        <f t="shared" si="2"/>
        <v>2.2592592592592591</v>
      </c>
      <c r="F42" s="3">
        <f t="shared" si="3"/>
        <v>187.44354110207769</v>
      </c>
      <c r="G42" s="3" t="str" cm="1">
        <f t="array" ref="G42">_xlfn.IFS(E42&gt;=2.5,"NLR&gt;=2.5",E42&lt;2.5,"NLR&lt;2.5")</f>
        <v>NLR&lt;2.5</v>
      </c>
      <c r="H42" s="3" t="str" cm="1">
        <f t="array" ref="H42">_xlfn.IFS(F42&gt;=150,"PLR&gt;=150",F42&lt;150,"PLR&lt;150")</f>
        <v>PLR&gt;=150</v>
      </c>
      <c r="I42" s="2" t="s">
        <v>0</v>
      </c>
      <c r="J42" s="1">
        <v>1</v>
      </c>
      <c r="K42" s="3">
        <v>8200</v>
      </c>
      <c r="L42" s="3">
        <v>415000</v>
      </c>
      <c r="M42" s="3">
        <v>61</v>
      </c>
      <c r="N42" s="3">
        <v>27</v>
      </c>
      <c r="O42" s="3">
        <f t="shared" si="0"/>
        <v>2214</v>
      </c>
      <c r="P42" s="3">
        <f t="shared" si="1"/>
        <v>5002</v>
      </c>
    </row>
    <row r="43" spans="1:16" x14ac:dyDescent="0.25">
      <c r="A43" s="2">
        <v>42</v>
      </c>
      <c r="B43" s="2" t="s">
        <v>24</v>
      </c>
      <c r="C43" s="2">
        <v>50</v>
      </c>
      <c r="D43" s="6" t="s">
        <v>19</v>
      </c>
      <c r="E43" s="3">
        <f t="shared" si="2"/>
        <v>0.91666666666666663</v>
      </c>
      <c r="F43" s="3">
        <f t="shared" si="3"/>
        <v>67.55952380952381</v>
      </c>
      <c r="G43" s="3" t="str" cm="1">
        <f t="array" ref="G43">_xlfn.IFS(E43&gt;=2.5,"NLR&gt;=2.5",E43&lt;2.5,"NLR&lt;2.5")</f>
        <v>NLR&lt;2.5</v>
      </c>
      <c r="H43" s="3" t="str" cm="1">
        <f t="array" ref="H43">_xlfn.IFS(F43&gt;=150,"PLR&gt;=150",F43&lt;150,"PLR&lt;150")</f>
        <v>PLR&lt;150</v>
      </c>
      <c r="I43" s="2" t="s">
        <v>0</v>
      </c>
      <c r="J43" s="1">
        <v>1</v>
      </c>
      <c r="K43" s="3">
        <v>7000</v>
      </c>
      <c r="L43" s="3">
        <v>227000</v>
      </c>
      <c r="M43" s="3">
        <v>44</v>
      </c>
      <c r="N43" s="3">
        <v>48</v>
      </c>
      <c r="O43" s="3">
        <f t="shared" si="0"/>
        <v>3360</v>
      </c>
      <c r="P43" s="3">
        <f t="shared" si="1"/>
        <v>3080</v>
      </c>
    </row>
    <row r="44" spans="1:16" x14ac:dyDescent="0.25">
      <c r="A44" s="2">
        <v>43</v>
      </c>
      <c r="B44" s="2" t="s">
        <v>24</v>
      </c>
      <c r="C44" s="2">
        <v>58</v>
      </c>
      <c r="D44" s="6" t="s">
        <v>19</v>
      </c>
      <c r="E44" s="3">
        <f t="shared" si="2"/>
        <v>0.75000000000000011</v>
      </c>
      <c r="F44" s="3">
        <f t="shared" si="3"/>
        <v>59.012875536480692</v>
      </c>
      <c r="G44" s="3" t="str" cm="1">
        <f t="array" ref="G44">_xlfn.IFS(E44&gt;=2.5,"NLR&gt;=2.5",E44&lt;2.5,"NLR&lt;2.5")</f>
        <v>NLR&lt;2.5</v>
      </c>
      <c r="H44" s="3" t="str" cm="1">
        <f t="array" ref="H44">_xlfn.IFS(F44&gt;=150,"PLR&gt;=150",F44&lt;150,"PLR&lt;150")</f>
        <v>PLR&lt;150</v>
      </c>
      <c r="I44" s="2" t="s">
        <v>0</v>
      </c>
      <c r="J44" s="1">
        <v>1</v>
      </c>
      <c r="K44" s="3">
        <v>6990</v>
      </c>
      <c r="L44" s="3">
        <v>198000</v>
      </c>
      <c r="M44" s="3">
        <v>36</v>
      </c>
      <c r="N44" s="3">
        <v>48</v>
      </c>
      <c r="O44" s="3">
        <f t="shared" si="0"/>
        <v>3355.2</v>
      </c>
      <c r="P44" s="3">
        <f t="shared" si="1"/>
        <v>2516.4</v>
      </c>
    </row>
    <row r="45" spans="1:16" x14ac:dyDescent="0.25">
      <c r="A45" s="2">
        <v>44</v>
      </c>
      <c r="B45" s="2" t="s">
        <v>24</v>
      </c>
      <c r="C45" s="2">
        <v>50</v>
      </c>
      <c r="D45" s="6" t="s">
        <v>19</v>
      </c>
      <c r="E45" s="3">
        <f t="shared" si="2"/>
        <v>5.5401459854014607</v>
      </c>
      <c r="F45" s="3">
        <f t="shared" si="3"/>
        <v>299.45723376380312</v>
      </c>
      <c r="G45" s="3" t="str" cm="1">
        <f t="array" ref="G45">_xlfn.IFS(E45&gt;=2.5,"NLR&gt;=2.5",E45&lt;2.5,"NLR&lt;2.5")</f>
        <v>NLR&gt;=2.5</v>
      </c>
      <c r="H45" s="3" t="str" cm="1">
        <f t="array" ref="H45">_xlfn.IFS(F45&gt;=150,"PLR&gt;=150",F45&lt;150,"PLR&lt;150")</f>
        <v>PLR&gt;=150</v>
      </c>
      <c r="I45" s="2" t="s">
        <v>0</v>
      </c>
      <c r="J45" s="1">
        <v>1</v>
      </c>
      <c r="K45" s="3">
        <v>8970</v>
      </c>
      <c r="L45" s="3">
        <v>368000</v>
      </c>
      <c r="M45" s="3">
        <v>75.900000000000006</v>
      </c>
      <c r="N45" s="3">
        <v>13.7</v>
      </c>
      <c r="O45" s="3">
        <f t="shared" si="0"/>
        <v>1228.8899999999999</v>
      </c>
      <c r="P45" s="3">
        <f t="shared" si="1"/>
        <v>6808.2300000000005</v>
      </c>
    </row>
    <row r="46" spans="1:16" x14ac:dyDescent="0.25">
      <c r="A46" s="2">
        <v>45</v>
      </c>
      <c r="B46" s="2" t="s">
        <v>24</v>
      </c>
      <c r="C46" s="2">
        <v>70</v>
      </c>
      <c r="D46" s="6" t="s">
        <v>21</v>
      </c>
      <c r="E46" s="3">
        <f t="shared" si="2"/>
        <v>4.0160427807486627</v>
      </c>
      <c r="F46" s="3">
        <f t="shared" si="3"/>
        <v>216.21443190070642</v>
      </c>
      <c r="G46" s="3" t="str" cm="1">
        <f t="array" ref="G46">_xlfn.IFS(E46&gt;=2.5,"NLR&gt;=2.5",E46&lt;2.5,"NLR&lt;2.5")</f>
        <v>NLR&gt;=2.5</v>
      </c>
      <c r="H46" s="3" t="str" cm="1">
        <f t="array" ref="H46">_xlfn.IFS(F46&gt;=150,"PLR&gt;=150",F46&lt;150,"PLR&lt;150")</f>
        <v>PLR&gt;=150</v>
      </c>
      <c r="I46" s="2" t="s">
        <v>0</v>
      </c>
      <c r="J46" s="1">
        <v>1</v>
      </c>
      <c r="K46" s="3">
        <v>6480</v>
      </c>
      <c r="L46" s="3">
        <v>262000</v>
      </c>
      <c r="M46" s="3">
        <v>75.099999999999994</v>
      </c>
      <c r="N46" s="3">
        <v>18.7</v>
      </c>
      <c r="O46" s="3">
        <f t="shared" si="0"/>
        <v>1211.76</v>
      </c>
      <c r="P46" s="3">
        <f t="shared" si="1"/>
        <v>4866.4799999999996</v>
      </c>
    </row>
    <row r="47" spans="1:16" x14ac:dyDescent="0.25">
      <c r="A47" s="2">
        <v>46</v>
      </c>
      <c r="B47" s="2" t="s">
        <v>24</v>
      </c>
      <c r="C47" s="2">
        <v>60</v>
      </c>
      <c r="D47" s="6" t="s">
        <v>20</v>
      </c>
      <c r="E47" s="3">
        <f t="shared" si="2"/>
        <v>1.9580645161290322</v>
      </c>
      <c r="F47" s="3">
        <f t="shared" si="3"/>
        <v>166.4071190211346</v>
      </c>
      <c r="G47" s="3" t="str" cm="1">
        <f t="array" ref="G47">_xlfn.IFS(E47&gt;=2.5,"NLR&gt;=2.5",E47&lt;2.5,"NLR&lt;2.5")</f>
        <v>NLR&lt;2.5</v>
      </c>
      <c r="H47" s="3" t="str" cm="1">
        <f t="array" ref="H47">_xlfn.IFS(F47&gt;=150,"PLR&gt;=150",F47&lt;150,"PLR&lt;150")</f>
        <v>PLR&gt;=150</v>
      </c>
      <c r="I47" s="2" t="s">
        <v>0</v>
      </c>
      <c r="J47" s="1">
        <v>1</v>
      </c>
      <c r="K47" s="3">
        <v>7250</v>
      </c>
      <c r="L47" s="3">
        <v>374000</v>
      </c>
      <c r="M47" s="3">
        <v>60.7</v>
      </c>
      <c r="N47" s="3">
        <v>31</v>
      </c>
      <c r="O47" s="3">
        <f t="shared" si="0"/>
        <v>2247.5</v>
      </c>
      <c r="P47" s="3">
        <f t="shared" si="1"/>
        <v>4400.75</v>
      </c>
    </row>
    <row r="48" spans="1:16" x14ac:dyDescent="0.25">
      <c r="A48" s="2">
        <v>47</v>
      </c>
      <c r="B48" s="2" t="s">
        <v>24</v>
      </c>
      <c r="C48" s="2">
        <v>57</v>
      </c>
      <c r="D48" s="6" t="s">
        <v>19</v>
      </c>
      <c r="E48" s="3">
        <f t="shared" si="2"/>
        <v>7.4722222222222223</v>
      </c>
      <c r="F48" s="3">
        <f t="shared" si="3"/>
        <v>484.31319669183745</v>
      </c>
      <c r="G48" s="3" t="str" cm="1">
        <f t="array" ref="G48">_xlfn.IFS(E48&gt;=2.5,"NLR&gt;=2.5",E48&lt;2.5,"NLR&lt;2.5")</f>
        <v>NLR&gt;=2.5</v>
      </c>
      <c r="H48" s="3" t="str" cm="1">
        <f t="array" ref="H48">_xlfn.IFS(F48&gt;=150,"PLR&gt;=150",F48&lt;150,"PLR&lt;150")</f>
        <v>PLR&gt;=150</v>
      </c>
      <c r="I48" s="2" t="s">
        <v>0</v>
      </c>
      <c r="J48" s="1">
        <v>1</v>
      </c>
      <c r="K48" s="3">
        <v>8240</v>
      </c>
      <c r="L48" s="3">
        <v>431000</v>
      </c>
      <c r="M48" s="3">
        <v>80.7</v>
      </c>
      <c r="N48" s="3">
        <v>10.8</v>
      </c>
      <c r="O48" s="3">
        <f t="shared" si="0"/>
        <v>889.92000000000007</v>
      </c>
      <c r="P48" s="3">
        <f t="shared" si="1"/>
        <v>6649.68</v>
      </c>
    </row>
    <row r="49" spans="1:16" x14ac:dyDescent="0.25">
      <c r="A49" s="2">
        <v>48</v>
      </c>
      <c r="B49" s="2" t="s">
        <v>24</v>
      </c>
      <c r="C49" s="2">
        <v>62</v>
      </c>
      <c r="D49" s="6" t="s">
        <v>20</v>
      </c>
      <c r="E49" s="3">
        <f t="shared" si="2"/>
        <v>4.2191011235955047</v>
      </c>
      <c r="F49" s="3">
        <f t="shared" si="3"/>
        <v>203.6796633689959</v>
      </c>
      <c r="G49" s="3" t="str" cm="1">
        <f t="array" ref="G49">_xlfn.IFS(E49&gt;=2.5,"NLR&gt;=2.5",E49&lt;2.5,"NLR&lt;2.5")</f>
        <v>NLR&gt;=2.5</v>
      </c>
      <c r="H49" s="3" t="str" cm="1">
        <f t="array" ref="H49">_xlfn.IFS(F49&gt;=150,"PLR&gt;=150",F49&lt;150,"PLR&lt;150")</f>
        <v>PLR&gt;=150</v>
      </c>
      <c r="I49" s="2" t="s">
        <v>0</v>
      </c>
      <c r="J49" s="1">
        <v>1</v>
      </c>
      <c r="K49" s="3">
        <v>7530</v>
      </c>
      <c r="L49" s="3">
        <v>273000</v>
      </c>
      <c r="M49" s="3">
        <v>75.099999999999994</v>
      </c>
      <c r="N49" s="3">
        <v>17.8</v>
      </c>
      <c r="O49" s="3">
        <f t="shared" si="0"/>
        <v>1340.3400000000001</v>
      </c>
      <c r="P49" s="3">
        <f t="shared" si="1"/>
        <v>5655.0299999999988</v>
      </c>
    </row>
    <row r="50" spans="1:16" x14ac:dyDescent="0.25">
      <c r="A50" s="2">
        <v>49</v>
      </c>
      <c r="B50" s="2" t="s">
        <v>24</v>
      </c>
      <c r="C50" s="2">
        <v>58</v>
      </c>
      <c r="D50" s="6" t="s">
        <v>19</v>
      </c>
      <c r="E50" s="3">
        <f t="shared" si="2"/>
        <v>2.5748031496062991</v>
      </c>
      <c r="F50" s="3">
        <f t="shared" si="3"/>
        <v>205.02628864682649</v>
      </c>
      <c r="G50" s="3" t="str" cm="1">
        <f t="array" ref="G50">_xlfn.IFS(E50&gt;=2.5,"NLR&gt;=2.5",E50&lt;2.5,"NLR&lt;2.5")</f>
        <v>NLR&gt;=2.5</v>
      </c>
      <c r="H50" s="3" t="str" cm="1">
        <f t="array" ref="H50">_xlfn.IFS(F50&gt;=150,"PLR&gt;=150",F50&lt;150,"PLR&lt;150")</f>
        <v>PLR&gt;=150</v>
      </c>
      <c r="I50" s="2" t="s">
        <v>0</v>
      </c>
      <c r="J50" s="1">
        <v>1</v>
      </c>
      <c r="K50" s="3">
        <v>6260</v>
      </c>
      <c r="L50" s="3">
        <v>326000</v>
      </c>
      <c r="M50" s="3">
        <v>65.400000000000006</v>
      </c>
      <c r="N50" s="3">
        <v>25.4</v>
      </c>
      <c r="O50" s="3">
        <f t="shared" si="0"/>
        <v>1590.04</v>
      </c>
      <c r="P50" s="3">
        <f t="shared" si="1"/>
        <v>4094.04</v>
      </c>
    </row>
    <row r="51" spans="1:16" x14ac:dyDescent="0.25">
      <c r="A51" s="2">
        <v>50</v>
      </c>
      <c r="B51" s="2" t="s">
        <v>23</v>
      </c>
      <c r="C51" s="2">
        <v>36</v>
      </c>
      <c r="D51" s="6" t="s">
        <v>17</v>
      </c>
      <c r="E51" s="3">
        <f t="shared" si="2"/>
        <v>2.0825082508250823</v>
      </c>
      <c r="F51" s="3">
        <f t="shared" si="3"/>
        <v>104.46323602317314</v>
      </c>
      <c r="G51" s="3" t="str" cm="1">
        <f t="array" ref="G51">_xlfn.IFS(E51&gt;=2.5,"NLR&gt;=2.5",E51&lt;2.5,"NLR&lt;2.5")</f>
        <v>NLR&lt;2.5</v>
      </c>
      <c r="H51" s="3" t="str" cm="1">
        <f t="array" ref="H51">_xlfn.IFS(F51&gt;=150,"PLR&gt;=150",F51&lt;150,"PLR&lt;150")</f>
        <v>PLR&lt;150</v>
      </c>
      <c r="I51" s="2" t="s">
        <v>0</v>
      </c>
      <c r="J51" s="1">
        <v>1</v>
      </c>
      <c r="K51" s="3">
        <v>9320</v>
      </c>
      <c r="L51" s="3">
        <v>295000</v>
      </c>
      <c r="M51" s="3">
        <v>63.1</v>
      </c>
      <c r="N51" s="3">
        <v>30.3</v>
      </c>
      <c r="O51" s="3">
        <f t="shared" si="0"/>
        <v>2823.96</v>
      </c>
      <c r="P51" s="3">
        <f t="shared" si="1"/>
        <v>5880.92</v>
      </c>
    </row>
    <row r="52" spans="1:16" x14ac:dyDescent="0.25">
      <c r="A52" s="2">
        <v>51</v>
      </c>
      <c r="B52" s="2" t="s">
        <v>24</v>
      </c>
      <c r="C52" s="2">
        <v>37</v>
      </c>
      <c r="D52" s="6" t="s">
        <v>17</v>
      </c>
      <c r="E52" s="3">
        <f t="shared" si="2"/>
        <v>2.8660714285714288</v>
      </c>
      <c r="F52" s="3">
        <f t="shared" si="3"/>
        <v>326.84948979591837</v>
      </c>
      <c r="G52" s="3" t="str" cm="1">
        <f t="array" ref="G52">_xlfn.IFS(E52&gt;=2.5,"NLR&gt;=2.5",E52&lt;2.5,"NLR&lt;2.5")</f>
        <v>NLR&gt;=2.5</v>
      </c>
      <c r="H52" s="3" t="str" cm="1">
        <f t="array" ref="H52">_xlfn.IFS(F52&gt;=150,"PLR&gt;=150",F52&lt;150,"PLR&lt;150")</f>
        <v>PLR&gt;=150</v>
      </c>
      <c r="I52" s="2" t="s">
        <v>0</v>
      </c>
      <c r="J52" s="1">
        <v>1</v>
      </c>
      <c r="K52" s="3">
        <v>6160</v>
      </c>
      <c r="L52" s="3">
        <v>451000</v>
      </c>
      <c r="M52" s="3">
        <v>64.2</v>
      </c>
      <c r="N52" s="3">
        <v>22.4</v>
      </c>
      <c r="O52" s="3">
        <f t="shared" si="0"/>
        <v>1379.84</v>
      </c>
      <c r="P52" s="3">
        <f t="shared" si="1"/>
        <v>3954.7200000000003</v>
      </c>
    </row>
    <row r="53" spans="1:16" x14ac:dyDescent="0.25">
      <c r="A53" s="2">
        <v>52</v>
      </c>
      <c r="B53" s="2" t="s">
        <v>24</v>
      </c>
      <c r="C53" s="2">
        <v>75</v>
      </c>
      <c r="D53" s="6" t="s">
        <v>21</v>
      </c>
      <c r="E53" s="3">
        <f t="shared" si="2"/>
        <v>5.1233766233766236</v>
      </c>
      <c r="F53" s="3">
        <f t="shared" si="3"/>
        <v>348.29806403410464</v>
      </c>
      <c r="G53" s="3" t="str" cm="1">
        <f t="array" ref="G53">_xlfn.IFS(E53&gt;=2.5,"NLR&gt;=2.5",E53&lt;2.5,"NLR&lt;2.5")</f>
        <v>NLR&gt;=2.5</v>
      </c>
      <c r="H53" s="3" t="str" cm="1">
        <f t="array" ref="H53">_xlfn.IFS(F53&gt;=150,"PLR&gt;=150",F53&lt;150,"PLR&lt;150")</f>
        <v>PLR&gt;=150</v>
      </c>
      <c r="I53" s="2" t="s">
        <v>0</v>
      </c>
      <c r="J53" s="1">
        <v>1</v>
      </c>
      <c r="K53" s="3">
        <v>5910</v>
      </c>
      <c r="L53" s="3">
        <v>317000</v>
      </c>
      <c r="M53" s="3">
        <v>78.900000000000006</v>
      </c>
      <c r="N53" s="3">
        <v>15.4</v>
      </c>
      <c r="O53" s="3">
        <f t="shared" si="0"/>
        <v>910.14</v>
      </c>
      <c r="P53" s="3">
        <f t="shared" si="1"/>
        <v>4662.99</v>
      </c>
    </row>
    <row r="54" spans="1:16" x14ac:dyDescent="0.25">
      <c r="A54" s="2">
        <v>53</v>
      </c>
      <c r="B54" s="2" t="s">
        <v>24</v>
      </c>
      <c r="C54" s="2">
        <v>66</v>
      </c>
      <c r="D54" s="6" t="s">
        <v>20</v>
      </c>
      <c r="E54" s="3">
        <f t="shared" si="2"/>
        <v>3.1541850220264318</v>
      </c>
      <c r="F54" s="3">
        <f t="shared" si="3"/>
        <v>97.313037327035431</v>
      </c>
      <c r="G54" s="3" t="str" cm="1">
        <f t="array" ref="G54">_xlfn.IFS(E54&gt;=2.5,"NLR&gt;=2.5",E54&lt;2.5,"NLR&lt;2.5")</f>
        <v>NLR&gt;=2.5</v>
      </c>
      <c r="H54" s="3" t="str" cm="1">
        <f t="array" ref="H54">_xlfn.IFS(F54&gt;=150,"PLR&gt;=150",F54&lt;150,"PLR&lt;150")</f>
        <v>PLR&lt;150</v>
      </c>
      <c r="I54" s="2" t="s">
        <v>0</v>
      </c>
      <c r="J54" s="1">
        <v>1</v>
      </c>
      <c r="K54" s="3">
        <v>11770</v>
      </c>
      <c r="L54" s="3">
        <v>260000</v>
      </c>
      <c r="M54" s="3">
        <v>71.599999999999994</v>
      </c>
      <c r="N54" s="3">
        <v>22.7</v>
      </c>
      <c r="O54" s="3">
        <f t="shared" si="0"/>
        <v>2671.79</v>
      </c>
      <c r="P54" s="3">
        <f t="shared" si="1"/>
        <v>8427.32</v>
      </c>
    </row>
    <row r="55" spans="1:16" x14ac:dyDescent="0.25">
      <c r="A55" s="2">
        <v>54</v>
      </c>
      <c r="B55" s="2" t="s">
        <v>23</v>
      </c>
      <c r="C55" s="2">
        <v>63</v>
      </c>
      <c r="D55" s="6" t="s">
        <v>20</v>
      </c>
      <c r="E55" s="3">
        <f t="shared" si="2"/>
        <v>2.8099173553719012</v>
      </c>
      <c r="F55" s="3">
        <f t="shared" si="3"/>
        <v>172.28034256323187</v>
      </c>
      <c r="G55" s="3" t="str" cm="1">
        <f t="array" ref="G55">_xlfn.IFS(E55&gt;=2.5,"NLR&gt;=2.5",E55&lt;2.5,"NLR&lt;2.5")</f>
        <v>NLR&gt;=2.5</v>
      </c>
      <c r="H55" s="3" t="str" cm="1">
        <f t="array" ref="H55">_xlfn.IFS(F55&gt;=150,"PLR&gt;=150",F55&lt;150,"PLR&lt;150")</f>
        <v>PLR&gt;=150</v>
      </c>
      <c r="I55" s="2" t="s">
        <v>0</v>
      </c>
      <c r="J55" s="1">
        <v>1</v>
      </c>
      <c r="K55" s="3">
        <v>6620</v>
      </c>
      <c r="L55" s="3">
        <v>276000</v>
      </c>
      <c r="M55" s="3">
        <v>68</v>
      </c>
      <c r="N55" s="3">
        <v>24.2</v>
      </c>
      <c r="O55" s="3">
        <f t="shared" si="0"/>
        <v>1602.04</v>
      </c>
      <c r="P55" s="3">
        <f t="shared" si="1"/>
        <v>4501.6000000000004</v>
      </c>
    </row>
    <row r="56" spans="1:16" x14ac:dyDescent="0.25">
      <c r="A56" s="2">
        <v>55</v>
      </c>
      <c r="B56" s="2" t="s">
        <v>24</v>
      </c>
      <c r="C56" s="2">
        <v>71</v>
      </c>
      <c r="D56" s="6" t="s">
        <v>21</v>
      </c>
      <c r="E56" s="3">
        <f t="shared" si="2"/>
        <v>3.1394230769230766</v>
      </c>
      <c r="F56" s="3">
        <f t="shared" si="3"/>
        <v>322.12343770132708</v>
      </c>
      <c r="G56" s="3" t="str" cm="1">
        <f t="array" ref="G56">_xlfn.IFS(E56&gt;=2.5,"NLR&gt;=2.5",E56&lt;2.5,"NLR&lt;2.5")</f>
        <v>NLR&gt;=2.5</v>
      </c>
      <c r="H56" s="3" t="str" cm="1">
        <f t="array" ref="H56">_xlfn.IFS(F56&gt;=150,"PLR&gt;=150",F56&lt;150,"PLR&lt;150")</f>
        <v>PLR&gt;=150</v>
      </c>
      <c r="I56" s="2" t="s">
        <v>0</v>
      </c>
      <c r="J56" s="1">
        <v>1</v>
      </c>
      <c r="K56" s="3">
        <v>5970</v>
      </c>
      <c r="L56" s="3">
        <v>400000</v>
      </c>
      <c r="M56" s="3">
        <v>65.3</v>
      </c>
      <c r="N56" s="3">
        <v>20.8</v>
      </c>
      <c r="O56" s="3">
        <f t="shared" si="0"/>
        <v>1241.7600000000002</v>
      </c>
      <c r="P56" s="3">
        <f t="shared" si="1"/>
        <v>3898.4100000000003</v>
      </c>
    </row>
    <row r="57" spans="1:16" x14ac:dyDescent="0.25">
      <c r="A57" s="2">
        <v>56</v>
      </c>
      <c r="B57" s="2" t="s">
        <v>24</v>
      </c>
      <c r="C57" s="2">
        <v>70</v>
      </c>
      <c r="D57" s="6" t="s">
        <v>21</v>
      </c>
      <c r="E57" s="3">
        <f t="shared" si="2"/>
        <v>2.3003663003663002</v>
      </c>
      <c r="F57" s="3">
        <f t="shared" si="3"/>
        <v>122.30194048375866</v>
      </c>
      <c r="G57" s="3" t="str" cm="1">
        <f t="array" ref="G57">_xlfn.IFS(E57&gt;=2.5,"NLR&gt;=2.5",E57&lt;2.5,"NLR&lt;2.5")</f>
        <v>NLR&lt;2.5</v>
      </c>
      <c r="H57" s="3" t="str" cm="1">
        <f t="array" ref="H57">_xlfn.IFS(F57&gt;=150,"PLR&gt;=150",F57&lt;150,"PLR&lt;150")</f>
        <v>PLR&lt;150</v>
      </c>
      <c r="I57" s="2" t="s">
        <v>0</v>
      </c>
      <c r="J57" s="1">
        <v>1</v>
      </c>
      <c r="K57" s="3">
        <v>6050</v>
      </c>
      <c r="L57" s="3">
        <v>202000</v>
      </c>
      <c r="M57" s="3">
        <v>62.8</v>
      </c>
      <c r="N57" s="3">
        <v>27.3</v>
      </c>
      <c r="O57" s="3">
        <f t="shared" si="0"/>
        <v>1651.65</v>
      </c>
      <c r="P57" s="3">
        <f t="shared" si="1"/>
        <v>3799.4</v>
      </c>
    </row>
    <row r="58" spans="1:16" x14ac:dyDescent="0.25">
      <c r="A58" s="2">
        <v>57</v>
      </c>
      <c r="B58" s="2" t="s">
        <v>23</v>
      </c>
      <c r="C58" s="2">
        <v>73</v>
      </c>
      <c r="D58" s="6" t="s">
        <v>21</v>
      </c>
      <c r="E58" s="3">
        <f t="shared" si="2"/>
        <v>3.8673469387755097</v>
      </c>
      <c r="F58" s="3">
        <f t="shared" si="3"/>
        <v>232.50635299049014</v>
      </c>
      <c r="G58" s="3" t="str" cm="1">
        <f t="array" ref="G58">_xlfn.IFS(E58&gt;=2.5,"NLR&gt;=2.5",E58&lt;2.5,"NLR&lt;2.5")</f>
        <v>NLR&gt;=2.5</v>
      </c>
      <c r="H58" s="3" t="str" cm="1">
        <f t="array" ref="H58">_xlfn.IFS(F58&gt;=150,"PLR&gt;=150",F58&lt;150,"PLR&lt;150")</f>
        <v>PLR&gt;=150</v>
      </c>
      <c r="I58" s="2" t="s">
        <v>0</v>
      </c>
      <c r="J58" s="1">
        <v>1</v>
      </c>
      <c r="K58" s="3">
        <v>7790</v>
      </c>
      <c r="L58" s="3">
        <v>355000</v>
      </c>
      <c r="M58" s="3">
        <v>75.8</v>
      </c>
      <c r="N58" s="3">
        <v>19.600000000000001</v>
      </c>
      <c r="O58" s="3">
        <f t="shared" si="0"/>
        <v>1526.8400000000001</v>
      </c>
      <c r="P58" s="3">
        <f t="shared" si="1"/>
        <v>5904.82</v>
      </c>
    </row>
    <row r="59" spans="1:16" x14ac:dyDescent="0.25">
      <c r="A59" s="2">
        <v>58</v>
      </c>
      <c r="B59" s="2" t="s">
        <v>24</v>
      </c>
      <c r="C59" s="2">
        <v>59</v>
      </c>
      <c r="D59" s="6" t="s">
        <v>19</v>
      </c>
      <c r="E59" s="3">
        <f t="shared" si="2"/>
        <v>3.401913875598086</v>
      </c>
      <c r="F59" s="3">
        <f t="shared" si="3"/>
        <v>257.74524460023713</v>
      </c>
      <c r="G59" s="3" t="str" cm="1">
        <f t="array" ref="G59">_xlfn.IFS(E59&gt;=2.5,"NLR&gt;=2.5",E59&lt;2.5,"NLR&lt;2.5")</f>
        <v>NLR&gt;=2.5</v>
      </c>
      <c r="H59" s="3" t="str" cm="1">
        <f t="array" ref="H59">_xlfn.IFS(F59&gt;=150,"PLR&gt;=150",F59&lt;150,"PLR&lt;150")</f>
        <v>PLR&gt;=150</v>
      </c>
      <c r="I59" s="2" t="s">
        <v>0</v>
      </c>
      <c r="J59" s="1">
        <v>1</v>
      </c>
      <c r="K59" s="3">
        <v>10210</v>
      </c>
      <c r="L59" s="3">
        <v>550000</v>
      </c>
      <c r="M59" s="3">
        <v>71.099999999999994</v>
      </c>
      <c r="N59" s="3">
        <v>20.9</v>
      </c>
      <c r="O59" s="3">
        <f t="shared" si="0"/>
        <v>2133.89</v>
      </c>
      <c r="P59" s="3">
        <f t="shared" si="1"/>
        <v>7259.3099999999995</v>
      </c>
    </row>
    <row r="60" spans="1:16" x14ac:dyDescent="0.25">
      <c r="A60" s="2">
        <v>59</v>
      </c>
      <c r="B60" s="2" t="s">
        <v>24</v>
      </c>
      <c r="C60" s="2">
        <v>59</v>
      </c>
      <c r="D60" s="6" t="s">
        <v>19</v>
      </c>
      <c r="E60" s="3">
        <f t="shared" si="2"/>
        <v>1.541795665634675</v>
      </c>
      <c r="F60" s="3">
        <f t="shared" si="3"/>
        <v>100.33943824834945</v>
      </c>
      <c r="G60" s="3" t="str" cm="1">
        <f t="array" ref="G60">_xlfn.IFS(E60&gt;=2.5,"NLR&gt;=2.5",E60&lt;2.5,"NLR&lt;2.5")</f>
        <v>NLR&lt;2.5</v>
      </c>
      <c r="H60" s="3" t="str" cm="1">
        <f t="array" ref="H60">_xlfn.IFS(F60&gt;=150,"PLR&gt;=150",F60&lt;150,"PLR&lt;150")</f>
        <v>PLR&lt;150</v>
      </c>
      <c r="I60" s="2" t="s">
        <v>0</v>
      </c>
      <c r="J60" s="1">
        <v>1</v>
      </c>
      <c r="K60" s="3">
        <v>8300</v>
      </c>
      <c r="L60" s="3">
        <v>269000</v>
      </c>
      <c r="M60" s="3">
        <v>49.8</v>
      </c>
      <c r="N60" s="3">
        <v>32.299999999999997</v>
      </c>
      <c r="O60" s="3">
        <f t="shared" si="0"/>
        <v>2680.8999999999996</v>
      </c>
      <c r="P60" s="3">
        <f t="shared" si="1"/>
        <v>4133.3999999999996</v>
      </c>
    </row>
    <row r="61" spans="1:16" x14ac:dyDescent="0.25">
      <c r="A61" s="2">
        <v>60</v>
      </c>
      <c r="B61" s="2" t="s">
        <v>23</v>
      </c>
      <c r="C61" s="2">
        <v>66</v>
      </c>
      <c r="D61" s="6" t="s">
        <v>20</v>
      </c>
      <c r="E61" s="3">
        <f t="shared" si="2"/>
        <v>1.6676217765042984</v>
      </c>
      <c r="F61" s="3">
        <f t="shared" si="3"/>
        <v>110.41069723018147</v>
      </c>
      <c r="G61" s="3" t="str" cm="1">
        <f t="array" ref="G61">_xlfn.IFS(E61&gt;=2.5,"NLR&gt;=2.5",E61&lt;2.5,"NLR&lt;2.5")</f>
        <v>NLR&lt;2.5</v>
      </c>
      <c r="H61" s="3" t="str" cm="1">
        <f t="array" ref="H61">_xlfn.IFS(F61&gt;=150,"PLR&gt;=150",F61&lt;150,"PLR&lt;150")</f>
        <v>PLR&lt;150</v>
      </c>
      <c r="I61" s="2" t="s">
        <v>0</v>
      </c>
      <c r="J61" s="1">
        <v>1</v>
      </c>
      <c r="K61" s="3">
        <v>7500</v>
      </c>
      <c r="L61" s="3">
        <v>289000</v>
      </c>
      <c r="M61" s="3">
        <v>58.2</v>
      </c>
      <c r="N61" s="3">
        <v>34.9</v>
      </c>
      <c r="O61" s="3">
        <f t="shared" si="0"/>
        <v>2617.5</v>
      </c>
      <c r="P61" s="3">
        <f t="shared" si="1"/>
        <v>4365.0000000000009</v>
      </c>
    </row>
    <row r="62" spans="1:16" x14ac:dyDescent="0.25">
      <c r="A62" s="2">
        <v>61</v>
      </c>
      <c r="B62" s="2" t="s">
        <v>24</v>
      </c>
      <c r="C62" s="2">
        <v>70</v>
      </c>
      <c r="D62" s="6" t="s">
        <v>21</v>
      </c>
      <c r="E62" s="3">
        <f t="shared" si="2"/>
        <v>3.6368421052631574</v>
      </c>
      <c r="F62" s="3">
        <f t="shared" si="3"/>
        <v>249.49918047714442</v>
      </c>
      <c r="G62" s="3" t="str" cm="1">
        <f t="array" ref="G62">_xlfn.IFS(E62&gt;=2.5,"NLR&gt;=2.5",E62&lt;2.5,"NLR&lt;2.5")</f>
        <v>NLR&gt;=2.5</v>
      </c>
      <c r="H62" s="3" t="str" cm="1">
        <f t="array" ref="H62">_xlfn.IFS(F62&gt;=150,"PLR&gt;=150",F62&lt;150,"PLR&lt;150")</f>
        <v>PLR&gt;=150</v>
      </c>
      <c r="I62" s="2" t="s">
        <v>0</v>
      </c>
      <c r="J62" s="1">
        <v>1</v>
      </c>
      <c r="K62" s="3">
        <v>8670</v>
      </c>
      <c r="L62" s="3">
        <v>411000</v>
      </c>
      <c r="M62" s="3">
        <v>69.099999999999994</v>
      </c>
      <c r="N62" s="3">
        <v>19</v>
      </c>
      <c r="O62" s="3">
        <f t="shared" si="0"/>
        <v>1647.3</v>
      </c>
      <c r="P62" s="3">
        <f t="shared" si="1"/>
        <v>5990.9699999999993</v>
      </c>
    </row>
    <row r="63" spans="1:16" x14ac:dyDescent="0.25">
      <c r="A63" s="2">
        <v>62</v>
      </c>
      <c r="B63" s="2" t="s">
        <v>23</v>
      </c>
      <c r="C63" s="2">
        <v>51</v>
      </c>
      <c r="D63" s="6" t="s">
        <v>19</v>
      </c>
      <c r="E63" s="3">
        <f t="shared" si="2"/>
        <v>2.3656716417910446</v>
      </c>
      <c r="F63" s="3">
        <f t="shared" si="3"/>
        <v>209.14205052622839</v>
      </c>
      <c r="G63" s="3" t="str" cm="1">
        <f t="array" ref="G63">_xlfn.IFS(E63&gt;=2.5,"NLR&gt;=2.5",E63&lt;2.5,"NLR&lt;2.5")</f>
        <v>NLR&lt;2.5</v>
      </c>
      <c r="H63" s="3" t="str" cm="1">
        <f t="array" ref="H63">_xlfn.IFS(F63&gt;=150,"PLR&gt;=150",F63&lt;150,"PLR&lt;150")</f>
        <v>PLR&gt;=150</v>
      </c>
      <c r="I63" s="2" t="s">
        <v>0</v>
      </c>
      <c r="J63" s="1">
        <v>1</v>
      </c>
      <c r="K63" s="3">
        <v>7190</v>
      </c>
      <c r="L63" s="3">
        <v>403000</v>
      </c>
      <c r="M63" s="3">
        <v>63.4</v>
      </c>
      <c r="N63" s="3">
        <v>26.8</v>
      </c>
      <c r="O63" s="3">
        <f t="shared" si="0"/>
        <v>1926.92</v>
      </c>
      <c r="P63" s="3">
        <f t="shared" si="1"/>
        <v>4558.46</v>
      </c>
    </row>
    <row r="64" spans="1:16" x14ac:dyDescent="0.25">
      <c r="A64" s="2">
        <v>63</v>
      </c>
      <c r="B64" s="2" t="s">
        <v>24</v>
      </c>
      <c r="C64" s="2">
        <v>55</v>
      </c>
      <c r="D64" s="6" t="s">
        <v>19</v>
      </c>
      <c r="E64" s="3">
        <f t="shared" si="2"/>
        <v>2.1282051282051277</v>
      </c>
      <c r="F64" s="3">
        <f t="shared" si="3"/>
        <v>142.20422075406967</v>
      </c>
      <c r="G64" s="3" t="str" cm="1">
        <f t="array" ref="G64">_xlfn.IFS(E64&gt;=2.5,"NLR&gt;=2.5",E64&lt;2.5,"NLR&lt;2.5")</f>
        <v>NLR&lt;2.5</v>
      </c>
      <c r="H64" s="3" t="str" cm="1">
        <f t="array" ref="H64">_xlfn.IFS(F64&gt;=150,"PLR&gt;=150",F64&lt;150,"PLR&lt;150")</f>
        <v>PLR&lt;150</v>
      </c>
      <c r="I64" s="2" t="s">
        <v>0</v>
      </c>
      <c r="J64" s="1">
        <v>1</v>
      </c>
      <c r="K64" s="3">
        <v>6620</v>
      </c>
      <c r="L64" s="3">
        <v>257000</v>
      </c>
      <c r="M64" s="3">
        <v>58.1</v>
      </c>
      <c r="N64" s="3">
        <v>27.3</v>
      </c>
      <c r="O64" s="3">
        <f t="shared" si="0"/>
        <v>1807.2600000000002</v>
      </c>
      <c r="P64" s="3">
        <f t="shared" si="1"/>
        <v>3846.22</v>
      </c>
    </row>
    <row r="65" spans="1:16" x14ac:dyDescent="0.25">
      <c r="A65" s="2">
        <v>64</v>
      </c>
      <c r="B65" s="2" t="s">
        <v>24</v>
      </c>
      <c r="C65" s="2">
        <v>54</v>
      </c>
      <c r="D65" s="6" t="s">
        <v>19</v>
      </c>
      <c r="E65" s="3">
        <f t="shared" si="2"/>
        <v>1.0595238095238095</v>
      </c>
      <c r="F65" s="3">
        <f t="shared" si="3"/>
        <v>128.55332246967228</v>
      </c>
      <c r="G65" s="3" t="str" cm="1">
        <f t="array" ref="G65">_xlfn.IFS(E65&gt;=2.5,"NLR&gt;=2.5",E65&lt;2.5,"NLR&lt;2.5")</f>
        <v>NLR&lt;2.5</v>
      </c>
      <c r="H65" s="3" t="str" cm="1">
        <f t="array" ref="H65">_xlfn.IFS(F65&gt;=150,"PLR&gt;=150",F65&lt;150,"PLR&lt;150")</f>
        <v>PLR&lt;150</v>
      </c>
      <c r="I65" s="2" t="s">
        <v>0</v>
      </c>
      <c r="J65" s="1">
        <v>1</v>
      </c>
      <c r="K65" s="3">
        <v>5260</v>
      </c>
      <c r="L65" s="3">
        <v>284000</v>
      </c>
      <c r="M65" s="3">
        <v>44.5</v>
      </c>
      <c r="N65" s="3">
        <v>42</v>
      </c>
      <c r="O65" s="3">
        <f t="shared" si="0"/>
        <v>2209.1999999999998</v>
      </c>
      <c r="P65" s="3">
        <f t="shared" si="1"/>
        <v>2340.6999999999998</v>
      </c>
    </row>
    <row r="66" spans="1:16" x14ac:dyDescent="0.25">
      <c r="A66" s="2">
        <v>65</v>
      </c>
      <c r="B66" s="2" t="s">
        <v>24</v>
      </c>
      <c r="C66" s="2">
        <v>25</v>
      </c>
      <c r="D66" s="6" t="s">
        <v>16</v>
      </c>
      <c r="E66" s="3">
        <f t="shared" si="2"/>
        <v>2.1458333333333335</v>
      </c>
      <c r="F66" s="3">
        <f t="shared" si="3"/>
        <v>110.57019218531245</v>
      </c>
      <c r="G66" s="3" t="str" cm="1">
        <f t="array" ref="G66">_xlfn.IFS(E66&gt;=2.5,"NLR&gt;=2.5",E66&lt;2.5,"NLR&lt;2.5")</f>
        <v>NLR&lt;2.5</v>
      </c>
      <c r="H66" s="3" t="str" cm="1">
        <f t="array" ref="H66">_xlfn.IFS(F66&gt;=150,"PLR&gt;=150",F66&lt;150,"PLR&lt;150")</f>
        <v>PLR&lt;150</v>
      </c>
      <c r="I66" s="2" t="s">
        <v>0</v>
      </c>
      <c r="J66" s="1">
        <v>1</v>
      </c>
      <c r="K66" s="3">
        <v>8730</v>
      </c>
      <c r="L66" s="3">
        <v>278000</v>
      </c>
      <c r="M66" s="3">
        <v>61.8</v>
      </c>
      <c r="N66" s="3">
        <v>28.8</v>
      </c>
      <c r="O66" s="3">
        <f t="shared" si="0"/>
        <v>2514.2400000000002</v>
      </c>
      <c r="P66" s="3">
        <f t="shared" si="1"/>
        <v>5395.14</v>
      </c>
    </row>
    <row r="67" spans="1:16" x14ac:dyDescent="0.25">
      <c r="A67" s="2">
        <v>66</v>
      </c>
      <c r="B67" s="2" t="s">
        <v>23</v>
      </c>
      <c r="C67" s="2">
        <v>63</v>
      </c>
      <c r="D67" s="6" t="s">
        <v>20</v>
      </c>
      <c r="E67" s="3">
        <f t="shared" ref="E67:E130" si="4">P67/O67</f>
        <v>2.5095057034220529</v>
      </c>
      <c r="F67" s="3">
        <f t="shared" ref="F67:F130" si="5">L67/O67</f>
        <v>175.03503657404394</v>
      </c>
      <c r="G67" s="3" t="str" cm="1">
        <f t="array" ref="G67">_xlfn.IFS(E67&gt;=2.5,"NLR&gt;=2.5",E67&lt;2.5,"NLR&lt;2.5")</f>
        <v>NLR&gt;=2.5</v>
      </c>
      <c r="H67" s="3" t="str" cm="1">
        <f t="array" ref="H67">_xlfn.IFS(F67&gt;=150,"PLR&gt;=150",F67&lt;150,"PLR&lt;150")</f>
        <v>PLR&gt;=150</v>
      </c>
      <c r="I67" s="2" t="s">
        <v>0</v>
      </c>
      <c r="J67" s="1">
        <v>1</v>
      </c>
      <c r="K67" s="3">
        <v>6430</v>
      </c>
      <c r="L67" s="3">
        <v>296000</v>
      </c>
      <c r="M67" s="3">
        <v>66</v>
      </c>
      <c r="N67" s="3">
        <v>26.3</v>
      </c>
      <c r="O67" s="3">
        <f t="shared" ref="O67:O130" si="6">K67*(N67/100)</f>
        <v>1691.0900000000001</v>
      </c>
      <c r="P67" s="3">
        <f t="shared" ref="P67:P130" si="7">K67*(M67/100)</f>
        <v>4243.8</v>
      </c>
    </row>
    <row r="68" spans="1:16" x14ac:dyDescent="0.25">
      <c r="A68" s="2">
        <v>67</v>
      </c>
      <c r="B68" s="2" t="s">
        <v>24</v>
      </c>
      <c r="C68" s="2">
        <v>46</v>
      </c>
      <c r="D68" s="6" t="s">
        <v>18</v>
      </c>
      <c r="E68" s="3">
        <f t="shared" si="4"/>
        <v>8.704081632653061</v>
      </c>
      <c r="F68" s="3">
        <f t="shared" si="5"/>
        <v>203.84321953080297</v>
      </c>
      <c r="G68" s="3" t="str" cm="1">
        <f t="array" ref="G68">_xlfn.IFS(E68&gt;=2.5,"NLR&gt;=2.5",E68&lt;2.5,"NLR&lt;2.5")</f>
        <v>NLR&gt;=2.5</v>
      </c>
      <c r="H68" s="3" t="str" cm="1">
        <f t="array" ref="H68">_xlfn.IFS(F68&gt;=150,"PLR&gt;=150",F68&lt;150,"PLR&lt;150")</f>
        <v>PLR&gt;=150</v>
      </c>
      <c r="I68" s="2" t="s">
        <v>0</v>
      </c>
      <c r="J68" s="1">
        <v>1</v>
      </c>
      <c r="K68" s="3">
        <v>8560</v>
      </c>
      <c r="L68" s="3">
        <v>171000</v>
      </c>
      <c r="M68" s="3">
        <v>85.3</v>
      </c>
      <c r="N68" s="3">
        <v>9.8000000000000007</v>
      </c>
      <c r="O68" s="3">
        <f t="shared" si="6"/>
        <v>838.88</v>
      </c>
      <c r="P68" s="3">
        <f t="shared" si="7"/>
        <v>7301.6799999999994</v>
      </c>
    </row>
    <row r="69" spans="1:16" x14ac:dyDescent="0.25">
      <c r="A69" s="2">
        <v>68</v>
      </c>
      <c r="B69" s="2" t="s">
        <v>23</v>
      </c>
      <c r="C69" s="2">
        <v>52</v>
      </c>
      <c r="D69" s="6" t="s">
        <v>19</v>
      </c>
      <c r="E69" s="3">
        <f t="shared" si="4"/>
        <v>5.5319148936170217</v>
      </c>
      <c r="F69" s="3">
        <f t="shared" si="5"/>
        <v>374.52398420850369</v>
      </c>
      <c r="G69" s="3" t="str" cm="1">
        <f t="array" ref="G69">_xlfn.IFS(E69&gt;=2.5,"NLR&gt;=2.5",E69&lt;2.5,"NLR&lt;2.5")</f>
        <v>NLR&gt;=2.5</v>
      </c>
      <c r="H69" s="3" t="str" cm="1">
        <f t="array" ref="H69">_xlfn.IFS(F69&gt;=150,"PLR&gt;=150",F69&lt;150,"PLR&lt;150")</f>
        <v>PLR&gt;=150</v>
      </c>
      <c r="I69" s="2" t="s">
        <v>0</v>
      </c>
      <c r="J69" s="1">
        <v>1</v>
      </c>
      <c r="K69" s="3">
        <v>10150</v>
      </c>
      <c r="L69" s="3">
        <v>536000</v>
      </c>
      <c r="M69" s="3">
        <v>78</v>
      </c>
      <c r="N69" s="3">
        <v>14.1</v>
      </c>
      <c r="O69" s="3">
        <f t="shared" si="6"/>
        <v>1431.1499999999999</v>
      </c>
      <c r="P69" s="3">
        <f t="shared" si="7"/>
        <v>7917</v>
      </c>
    </row>
    <row r="70" spans="1:16" x14ac:dyDescent="0.25">
      <c r="A70" s="2">
        <v>69</v>
      </c>
      <c r="B70" s="2" t="s">
        <v>23</v>
      </c>
      <c r="C70" s="2">
        <v>72</v>
      </c>
      <c r="D70" s="6" t="s">
        <v>21</v>
      </c>
      <c r="E70" s="3">
        <f t="shared" si="4"/>
        <v>2.9237668161434978</v>
      </c>
      <c r="F70" s="3">
        <f t="shared" si="5"/>
        <v>207.36079757295934</v>
      </c>
      <c r="G70" s="3" t="str" cm="1">
        <f t="array" ref="G70">_xlfn.IFS(E70&gt;=2.5,"NLR&gt;=2.5",E70&lt;2.5,"NLR&lt;2.5")</f>
        <v>NLR&gt;=2.5</v>
      </c>
      <c r="H70" s="3" t="str" cm="1">
        <f t="array" ref="H70">_xlfn.IFS(F70&gt;=150,"PLR&gt;=150",F70&lt;150,"PLR&lt;150")</f>
        <v>PLR&gt;=150</v>
      </c>
      <c r="I70" s="2" t="s">
        <v>0</v>
      </c>
      <c r="J70" s="1">
        <v>1</v>
      </c>
      <c r="K70" s="3">
        <v>8780</v>
      </c>
      <c r="L70" s="3">
        <v>406000</v>
      </c>
      <c r="M70" s="3">
        <v>65.2</v>
      </c>
      <c r="N70" s="3">
        <v>22.3</v>
      </c>
      <c r="O70" s="3">
        <f t="shared" si="6"/>
        <v>1957.94</v>
      </c>
      <c r="P70" s="3">
        <f t="shared" si="7"/>
        <v>5724.56</v>
      </c>
    </row>
    <row r="71" spans="1:16" x14ac:dyDescent="0.25">
      <c r="A71" s="2">
        <v>70</v>
      </c>
      <c r="B71" s="2" t="s">
        <v>24</v>
      </c>
      <c r="C71" s="2">
        <v>71</v>
      </c>
      <c r="D71" s="6" t="s">
        <v>21</v>
      </c>
      <c r="E71" s="3">
        <f t="shared" si="4"/>
        <v>12.426470588235293</v>
      </c>
      <c r="F71" s="3">
        <f t="shared" si="5"/>
        <v>456.38945233265719</v>
      </c>
      <c r="G71" s="3" t="str" cm="1">
        <f t="array" ref="G71">_xlfn.IFS(E71&gt;=2.5,"NLR&gt;=2.5",E71&lt;2.5,"NLR&lt;2.5")</f>
        <v>NLR&gt;=2.5</v>
      </c>
      <c r="H71" s="3" t="str" cm="1">
        <f t="array" ref="H71">_xlfn.IFS(F71&gt;=150,"PLR&gt;=150",F71&lt;150,"PLR&lt;150")</f>
        <v>PLR&gt;=150</v>
      </c>
      <c r="I71" s="2" t="s">
        <v>0</v>
      </c>
      <c r="J71" s="1">
        <v>1</v>
      </c>
      <c r="K71" s="3">
        <v>9570</v>
      </c>
      <c r="L71" s="3">
        <v>297000</v>
      </c>
      <c r="M71" s="3">
        <v>84.5</v>
      </c>
      <c r="N71" s="3">
        <v>6.8</v>
      </c>
      <c r="O71" s="3">
        <f t="shared" si="6"/>
        <v>650.76</v>
      </c>
      <c r="P71" s="3">
        <f t="shared" si="7"/>
        <v>8086.65</v>
      </c>
    </row>
    <row r="72" spans="1:16" x14ac:dyDescent="0.25">
      <c r="A72" s="2">
        <v>71</v>
      </c>
      <c r="B72" s="2" t="s">
        <v>24</v>
      </c>
      <c r="C72" s="2">
        <v>68</v>
      </c>
      <c r="D72" s="6" t="s">
        <v>20</v>
      </c>
      <c r="E72" s="3">
        <f t="shared" si="4"/>
        <v>6.7355371900826446</v>
      </c>
      <c r="F72" s="3">
        <f t="shared" si="5"/>
        <v>198.00275482093664</v>
      </c>
      <c r="G72" s="3" t="str" cm="1">
        <f t="array" ref="G72">_xlfn.IFS(E72&gt;=2.5,"NLR&gt;=2.5",E72&lt;2.5,"NLR&lt;2.5")</f>
        <v>NLR&gt;=2.5</v>
      </c>
      <c r="H72" s="3" t="str" cm="1">
        <f t="array" ref="H72">_xlfn.IFS(F72&gt;=150,"PLR&gt;=150",F72&lt;150,"PLR&lt;150")</f>
        <v>PLR&gt;=150</v>
      </c>
      <c r="I72" s="2" t="s">
        <v>0</v>
      </c>
      <c r="J72" s="1">
        <v>1</v>
      </c>
      <c r="K72" s="3">
        <v>9600</v>
      </c>
      <c r="L72" s="3">
        <v>230000</v>
      </c>
      <c r="M72" s="3">
        <v>81.5</v>
      </c>
      <c r="N72" s="3">
        <v>12.1</v>
      </c>
      <c r="O72" s="3">
        <f t="shared" si="6"/>
        <v>1161.5999999999999</v>
      </c>
      <c r="P72" s="3">
        <f t="shared" si="7"/>
        <v>7823.9999999999991</v>
      </c>
    </row>
    <row r="73" spans="1:16" x14ac:dyDescent="0.25">
      <c r="A73" s="2">
        <v>72</v>
      </c>
      <c r="B73" s="2" t="s">
        <v>23</v>
      </c>
      <c r="C73" s="2">
        <v>20</v>
      </c>
      <c r="D73" s="6" t="s">
        <v>16</v>
      </c>
      <c r="E73" s="3">
        <f t="shared" si="4"/>
        <v>4.4999999999999991</v>
      </c>
      <c r="F73" s="3">
        <f t="shared" si="5"/>
        <v>121.94059750892778</v>
      </c>
      <c r="G73" s="3" t="str" cm="1">
        <f t="array" ref="G73">_xlfn.IFS(E73&gt;=2.5,"NLR&gt;=2.5",E73&lt;2.5,"NLR&lt;2.5")</f>
        <v>NLR&gt;=2.5</v>
      </c>
      <c r="H73" s="3" t="str" cm="1">
        <f t="array" ref="H73">_xlfn.IFS(F73&gt;=150,"PLR&gt;=150",F73&lt;150,"PLR&lt;150")</f>
        <v>PLR&lt;150</v>
      </c>
      <c r="I73" s="2" t="s">
        <v>0</v>
      </c>
      <c r="J73" s="1">
        <v>1</v>
      </c>
      <c r="K73" s="3">
        <v>5160</v>
      </c>
      <c r="L73" s="3">
        <v>112000</v>
      </c>
      <c r="M73" s="3">
        <v>80.099999999999994</v>
      </c>
      <c r="N73" s="3">
        <v>17.8</v>
      </c>
      <c r="O73" s="3">
        <f t="shared" si="6"/>
        <v>918.48000000000013</v>
      </c>
      <c r="P73" s="3">
        <f t="shared" si="7"/>
        <v>4133.16</v>
      </c>
    </row>
    <row r="74" spans="1:16" x14ac:dyDescent="0.25">
      <c r="A74" s="2">
        <v>73</v>
      </c>
      <c r="B74" s="2" t="s">
        <v>23</v>
      </c>
      <c r="C74" s="2">
        <v>53</v>
      </c>
      <c r="D74" s="6" t="s">
        <v>19</v>
      </c>
      <c r="E74" s="3">
        <f t="shared" si="4"/>
        <v>12.19718309859155</v>
      </c>
      <c r="F74" s="3">
        <f t="shared" si="5"/>
        <v>418.15739021481517</v>
      </c>
      <c r="G74" s="3" t="str" cm="1">
        <f t="array" ref="G74">_xlfn.IFS(E74&gt;=2.5,"NLR&gt;=2.5",E74&lt;2.5,"NLR&lt;2.5")</f>
        <v>NLR&gt;=2.5</v>
      </c>
      <c r="H74" s="3" t="str" cm="1">
        <f t="array" ref="H74">_xlfn.IFS(F74&gt;=150,"PLR&gt;=150",F74&lt;150,"PLR&lt;150")</f>
        <v>PLR&gt;=150</v>
      </c>
      <c r="I74" s="2" t="s">
        <v>0</v>
      </c>
      <c r="J74" s="1">
        <v>1</v>
      </c>
      <c r="K74" s="3">
        <v>9330</v>
      </c>
      <c r="L74" s="3">
        <v>277000</v>
      </c>
      <c r="M74" s="3">
        <v>86.6</v>
      </c>
      <c r="N74" s="3">
        <v>7.1</v>
      </c>
      <c r="O74" s="3">
        <f t="shared" si="6"/>
        <v>662.43</v>
      </c>
      <c r="P74" s="3">
        <f t="shared" si="7"/>
        <v>8079.78</v>
      </c>
    </row>
    <row r="75" spans="1:16" x14ac:dyDescent="0.25">
      <c r="A75" s="2">
        <v>74</v>
      </c>
      <c r="B75" s="2" t="s">
        <v>23</v>
      </c>
      <c r="C75" s="2">
        <v>64</v>
      </c>
      <c r="D75" s="6" t="s">
        <v>20</v>
      </c>
      <c r="E75" s="3">
        <f t="shared" si="4"/>
        <v>3.4952380952380961</v>
      </c>
      <c r="F75" s="3">
        <f t="shared" si="5"/>
        <v>178.75763444063759</v>
      </c>
      <c r="G75" s="3" t="str" cm="1">
        <f t="array" ref="G75">_xlfn.IFS(E75&gt;=2.5,"NLR&gt;=2.5",E75&lt;2.5,"NLR&lt;2.5")</f>
        <v>NLR&gt;=2.5</v>
      </c>
      <c r="H75" s="3" t="str" cm="1">
        <f t="array" ref="H75">_xlfn.IFS(F75&gt;=150,"PLR&gt;=150",F75&lt;150,"PLR&lt;150")</f>
        <v>PLR&gt;=150</v>
      </c>
      <c r="I75" s="2" t="s">
        <v>0</v>
      </c>
      <c r="J75" s="1">
        <v>1</v>
      </c>
      <c r="K75" s="3">
        <v>9590</v>
      </c>
      <c r="L75" s="3">
        <v>360000</v>
      </c>
      <c r="M75" s="3">
        <v>73.400000000000006</v>
      </c>
      <c r="N75" s="3">
        <v>21</v>
      </c>
      <c r="O75" s="3">
        <f t="shared" si="6"/>
        <v>2013.8999999999999</v>
      </c>
      <c r="P75" s="3">
        <f t="shared" si="7"/>
        <v>7039.0600000000013</v>
      </c>
    </row>
    <row r="76" spans="1:16" x14ac:dyDescent="0.25">
      <c r="A76" s="2">
        <v>75</v>
      </c>
      <c r="B76" s="2" t="s">
        <v>24</v>
      </c>
      <c r="C76" s="2">
        <v>51</v>
      </c>
      <c r="D76" s="6" t="s">
        <v>19</v>
      </c>
      <c r="E76" s="3">
        <f t="shared" si="4"/>
        <v>2.6294820717131473</v>
      </c>
      <c r="F76" s="3">
        <f t="shared" si="5"/>
        <v>107.45196553686732</v>
      </c>
      <c r="G76" s="3" t="str" cm="1">
        <f t="array" ref="G76">_xlfn.IFS(E76&gt;=2.5,"NLR&gt;=2.5",E76&lt;2.5,"NLR&lt;2.5")</f>
        <v>NLR&gt;=2.5</v>
      </c>
      <c r="H76" s="3" t="str" cm="1">
        <f t="array" ref="H76">_xlfn.IFS(F76&gt;=150,"PLR&gt;=150",F76&lt;150,"PLR&lt;150")</f>
        <v>PLR&lt;150</v>
      </c>
      <c r="I76" s="2" t="s">
        <v>0</v>
      </c>
      <c r="J76" s="1">
        <v>1</v>
      </c>
      <c r="K76" s="3">
        <v>8119.9999999999991</v>
      </c>
      <c r="L76" s="3">
        <v>219000</v>
      </c>
      <c r="M76" s="3">
        <v>66</v>
      </c>
      <c r="N76" s="3">
        <v>25.1</v>
      </c>
      <c r="O76" s="3">
        <f t="shared" si="6"/>
        <v>2038.12</v>
      </c>
      <c r="P76" s="3">
        <f t="shared" si="7"/>
        <v>5359.2</v>
      </c>
    </row>
    <row r="77" spans="1:16" x14ac:dyDescent="0.25">
      <c r="A77" s="2">
        <v>76</v>
      </c>
      <c r="B77" s="2" t="s">
        <v>23</v>
      </c>
      <c r="C77" s="2">
        <v>27</v>
      </c>
      <c r="D77" s="6" t="s">
        <v>16</v>
      </c>
      <c r="E77" s="3">
        <f t="shared" si="4"/>
        <v>12.142857142857142</v>
      </c>
      <c r="F77" s="3">
        <f t="shared" si="5"/>
        <v>178.21212992239148</v>
      </c>
      <c r="G77" s="3" t="str" cm="1">
        <f t="array" ref="G77">_xlfn.IFS(E77&gt;=2.5,"NLR&gt;=2.5",E77&lt;2.5,"NLR&lt;2.5")</f>
        <v>NLR&gt;=2.5</v>
      </c>
      <c r="H77" s="3" t="str" cm="1">
        <f t="array" ref="H77">_xlfn.IFS(F77&gt;=150,"PLR&gt;=150",F77&lt;150,"PLR&lt;150")</f>
        <v>PLR&gt;=150</v>
      </c>
      <c r="I77" s="2" t="s">
        <v>0</v>
      </c>
      <c r="J77" s="1">
        <v>1</v>
      </c>
      <c r="K77" s="3">
        <v>9940</v>
      </c>
      <c r="L77" s="3">
        <v>124000</v>
      </c>
      <c r="M77" s="3">
        <v>85</v>
      </c>
      <c r="N77" s="3">
        <v>7</v>
      </c>
      <c r="O77" s="3">
        <f t="shared" si="6"/>
        <v>695.80000000000007</v>
      </c>
      <c r="P77" s="3">
        <f t="shared" si="7"/>
        <v>8449</v>
      </c>
    </row>
    <row r="78" spans="1:16" x14ac:dyDescent="0.25">
      <c r="A78" s="2">
        <v>77</v>
      </c>
      <c r="B78" s="2" t="s">
        <v>23</v>
      </c>
      <c r="C78" s="2">
        <v>65</v>
      </c>
      <c r="D78" s="6" t="s">
        <v>20</v>
      </c>
      <c r="E78" s="3">
        <f t="shared" si="4"/>
        <v>0.87943262411347534</v>
      </c>
      <c r="F78" s="3">
        <f t="shared" si="5"/>
        <v>68.76661432193039</v>
      </c>
      <c r="G78" s="3" t="str" cm="1">
        <f t="array" ref="G78">_xlfn.IFS(E78&gt;=2.5,"NLR&gt;=2.5",E78&lt;2.5,"NLR&lt;2.5")</f>
        <v>NLR&lt;2.5</v>
      </c>
      <c r="H78" s="3" t="str" cm="1">
        <f t="array" ref="H78">_xlfn.IFS(F78&gt;=150,"PLR&gt;=150",F78&lt;150,"PLR&lt;150")</f>
        <v>PLR&lt;150</v>
      </c>
      <c r="I78" s="2" t="s">
        <v>0</v>
      </c>
      <c r="J78" s="1">
        <v>1</v>
      </c>
      <c r="K78" s="3">
        <v>6910</v>
      </c>
      <c r="L78" s="3">
        <v>201000</v>
      </c>
      <c r="M78" s="3">
        <v>37.200000000000003</v>
      </c>
      <c r="N78" s="3">
        <v>42.3</v>
      </c>
      <c r="O78" s="3">
        <f t="shared" si="6"/>
        <v>2922.93</v>
      </c>
      <c r="P78" s="3">
        <f t="shared" si="7"/>
        <v>2570.5200000000004</v>
      </c>
    </row>
    <row r="79" spans="1:16" x14ac:dyDescent="0.25">
      <c r="A79" s="2">
        <v>78</v>
      </c>
      <c r="B79" s="2" t="s">
        <v>23</v>
      </c>
      <c r="C79" s="2">
        <v>53</v>
      </c>
      <c r="D79" s="6" t="s">
        <v>19</v>
      </c>
      <c r="E79" s="3">
        <f t="shared" si="4"/>
        <v>9.4725274725274726</v>
      </c>
      <c r="F79" s="3">
        <f t="shared" si="5"/>
        <v>230.0309351947331</v>
      </c>
      <c r="G79" s="3" t="str" cm="1">
        <f t="array" ref="G79">_xlfn.IFS(E79&gt;=2.5,"NLR&gt;=2.5",E79&lt;2.5,"NLR&lt;2.5")</f>
        <v>NLR&gt;=2.5</v>
      </c>
      <c r="H79" s="3" t="str" cm="1">
        <f t="array" ref="H79">_xlfn.IFS(F79&gt;=150,"PLR&gt;=150",F79&lt;150,"PLR&lt;150")</f>
        <v>PLR&gt;=150</v>
      </c>
      <c r="I79" s="2" t="s">
        <v>0</v>
      </c>
      <c r="J79" s="1">
        <v>1</v>
      </c>
      <c r="K79" s="3">
        <v>18010</v>
      </c>
      <c r="L79" s="3">
        <v>377000</v>
      </c>
      <c r="M79" s="3">
        <v>86.2</v>
      </c>
      <c r="N79" s="3">
        <v>9.1</v>
      </c>
      <c r="O79" s="3">
        <f t="shared" si="6"/>
        <v>1638.9099999999999</v>
      </c>
      <c r="P79" s="3">
        <f t="shared" si="7"/>
        <v>15524.619999999999</v>
      </c>
    </row>
    <row r="80" spans="1:16" x14ac:dyDescent="0.25">
      <c r="A80" s="2">
        <v>79</v>
      </c>
      <c r="B80" s="2" t="s">
        <v>24</v>
      </c>
      <c r="C80" s="2">
        <v>47</v>
      </c>
      <c r="D80" s="6" t="s">
        <v>18</v>
      </c>
      <c r="E80" s="3">
        <f t="shared" si="4"/>
        <v>2.7302904564315345</v>
      </c>
      <c r="F80" s="3">
        <f t="shared" si="5"/>
        <v>170.59264912426966</v>
      </c>
      <c r="G80" s="3" t="str" cm="1">
        <f t="array" ref="G80">_xlfn.IFS(E80&gt;=2.5,"NLR&gt;=2.5",E80&lt;2.5,"NLR&lt;2.5")</f>
        <v>NLR&gt;=2.5</v>
      </c>
      <c r="H80" s="3" t="str" cm="1">
        <f t="array" ref="H80">_xlfn.IFS(F80&gt;=150,"PLR&gt;=150",F80&lt;150,"PLR&lt;150")</f>
        <v>PLR&gt;=150</v>
      </c>
      <c r="I80" s="2" t="s">
        <v>0</v>
      </c>
      <c r="J80" s="1">
        <v>1</v>
      </c>
      <c r="K80" s="3">
        <v>6470</v>
      </c>
      <c r="L80" s="3">
        <v>266000</v>
      </c>
      <c r="M80" s="3">
        <v>65.8</v>
      </c>
      <c r="N80" s="3">
        <v>24.1</v>
      </c>
      <c r="O80" s="3">
        <f t="shared" si="6"/>
        <v>1559.2700000000002</v>
      </c>
      <c r="P80" s="3">
        <f t="shared" si="7"/>
        <v>4257.2599999999993</v>
      </c>
    </row>
    <row r="81" spans="1:16" x14ac:dyDescent="0.25">
      <c r="A81" s="2">
        <v>80</v>
      </c>
      <c r="B81" s="2" t="s">
        <v>23</v>
      </c>
      <c r="C81" s="2">
        <v>32</v>
      </c>
      <c r="D81" s="6" t="s">
        <v>17</v>
      </c>
      <c r="E81" s="3">
        <f t="shared" si="4"/>
        <v>2.6270185112248918</v>
      </c>
      <c r="F81" s="3">
        <f t="shared" si="5"/>
        <v>210.05645267165551</v>
      </c>
      <c r="G81" s="3" t="str" cm="1">
        <f t="array" ref="G81">_xlfn.IFS(E81&gt;=2.5,"NLR&gt;=2.5",E81&lt;2.5,"NLR&lt;2.5")</f>
        <v>NLR&gt;=2.5</v>
      </c>
      <c r="H81" s="3" t="str" cm="1">
        <f t="array" ref="H81">_xlfn.IFS(F81&gt;=150,"PLR&gt;=150",F81&lt;150,"PLR&lt;150")</f>
        <v>PLR&gt;=150</v>
      </c>
      <c r="I81" s="2" t="s">
        <v>0</v>
      </c>
      <c r="J81" s="1">
        <v>1</v>
      </c>
      <c r="K81" s="3">
        <v>7800</v>
      </c>
      <c r="L81" s="3">
        <v>416000</v>
      </c>
      <c r="M81" s="3">
        <v>66.7</v>
      </c>
      <c r="N81" s="3">
        <v>25.39</v>
      </c>
      <c r="O81" s="3">
        <f t="shared" si="6"/>
        <v>1980.42</v>
      </c>
      <c r="P81" s="3">
        <f t="shared" si="7"/>
        <v>5202.6000000000004</v>
      </c>
    </row>
    <row r="82" spans="1:16" x14ac:dyDescent="0.25">
      <c r="A82" s="2">
        <v>81</v>
      </c>
      <c r="B82" s="2" t="s">
        <v>23</v>
      </c>
      <c r="C82" s="2">
        <v>72</v>
      </c>
      <c r="D82" s="6" t="s">
        <v>21</v>
      </c>
      <c r="E82" s="3">
        <f t="shared" si="4"/>
        <v>1.3814814814814813</v>
      </c>
      <c r="F82" s="3">
        <f t="shared" si="5"/>
        <v>145.0317631547405</v>
      </c>
      <c r="G82" s="3" t="str" cm="1">
        <f t="array" ref="G82">_xlfn.IFS(E82&gt;=2.5,"NLR&gt;=2.5",E82&lt;2.5,"NLR&lt;2.5")</f>
        <v>NLR&lt;2.5</v>
      </c>
      <c r="H82" s="3" t="str" cm="1">
        <f t="array" ref="H82">_xlfn.IFS(F82&gt;=150,"PLR&gt;=150",F82&lt;150,"PLR&lt;150")</f>
        <v>PLR&lt;150</v>
      </c>
      <c r="I82" s="2" t="s">
        <v>0</v>
      </c>
      <c r="J82" s="1">
        <v>1</v>
      </c>
      <c r="K82" s="3">
        <v>6180</v>
      </c>
      <c r="L82" s="3">
        <v>242000</v>
      </c>
      <c r="M82" s="3">
        <v>37.299999999999997</v>
      </c>
      <c r="N82" s="3">
        <v>27</v>
      </c>
      <c r="O82" s="3">
        <f t="shared" si="6"/>
        <v>1668.6000000000001</v>
      </c>
      <c r="P82" s="3">
        <f t="shared" si="7"/>
        <v>2305.14</v>
      </c>
    </row>
    <row r="83" spans="1:16" x14ac:dyDescent="0.25">
      <c r="A83" s="2">
        <v>82</v>
      </c>
      <c r="B83" s="2" t="s">
        <v>24</v>
      </c>
      <c r="C83" s="2">
        <v>72</v>
      </c>
      <c r="D83" s="6" t="s">
        <v>21</v>
      </c>
      <c r="E83" s="3">
        <f t="shared" si="4"/>
        <v>2.120754716981132</v>
      </c>
      <c r="F83" s="3">
        <f t="shared" si="5"/>
        <v>448.91484119215579</v>
      </c>
      <c r="G83" s="3" t="str" cm="1">
        <f t="array" ref="G83">_xlfn.IFS(E83&gt;=2.5,"NLR&gt;=2.5",E83&lt;2.5,"NLR&lt;2.5")</f>
        <v>NLR&lt;2.5</v>
      </c>
      <c r="H83" s="3" t="str" cm="1">
        <f t="array" ref="H83">_xlfn.IFS(F83&gt;=150,"PLR&gt;=150",F83&lt;150,"PLR&lt;150")</f>
        <v>PLR&gt;=150</v>
      </c>
      <c r="I83" s="2" t="s">
        <v>0</v>
      </c>
      <c r="J83" s="1">
        <v>1</v>
      </c>
      <c r="K83" s="3">
        <v>5590</v>
      </c>
      <c r="L83" s="3">
        <v>665000</v>
      </c>
      <c r="M83" s="3">
        <v>56.2</v>
      </c>
      <c r="N83" s="3">
        <v>26.5</v>
      </c>
      <c r="O83" s="3">
        <f t="shared" si="6"/>
        <v>1481.3500000000001</v>
      </c>
      <c r="P83" s="3">
        <f t="shared" si="7"/>
        <v>3141.5800000000004</v>
      </c>
    </row>
    <row r="84" spans="1:16" x14ac:dyDescent="0.25">
      <c r="A84" s="2">
        <v>83</v>
      </c>
      <c r="B84" s="2" t="s">
        <v>24</v>
      </c>
      <c r="C84" s="2">
        <v>58</v>
      </c>
      <c r="D84" s="6" t="s">
        <v>19</v>
      </c>
      <c r="E84" s="3">
        <f t="shared" si="4"/>
        <v>5.9202898550724639</v>
      </c>
      <c r="F84" s="3">
        <f t="shared" si="5"/>
        <v>145.46630030709551</v>
      </c>
      <c r="G84" s="3" t="str" cm="1">
        <f t="array" ref="G84">_xlfn.IFS(E84&gt;=2.5,"NLR&gt;=2.5",E84&lt;2.5,"NLR&lt;2.5")</f>
        <v>NLR&gt;=2.5</v>
      </c>
      <c r="H84" s="3" t="str" cm="1">
        <f t="array" ref="H84">_xlfn.IFS(F84&gt;=150,"PLR&gt;=150",F84&lt;150,"PLR&lt;150")</f>
        <v>PLR&lt;150</v>
      </c>
      <c r="I84" s="2" t="s">
        <v>0</v>
      </c>
      <c r="J84" s="1">
        <v>1</v>
      </c>
      <c r="K84" s="3">
        <v>13450</v>
      </c>
      <c r="L84" s="3">
        <v>270000</v>
      </c>
      <c r="M84" s="3">
        <v>81.7</v>
      </c>
      <c r="N84" s="3">
        <v>13.8</v>
      </c>
      <c r="O84" s="3">
        <f t="shared" si="6"/>
        <v>1856.1000000000001</v>
      </c>
      <c r="P84" s="3">
        <f t="shared" si="7"/>
        <v>10988.650000000001</v>
      </c>
    </row>
    <row r="85" spans="1:16" x14ac:dyDescent="0.25">
      <c r="A85" s="2">
        <v>84</v>
      </c>
      <c r="B85" s="2" t="s">
        <v>24</v>
      </c>
      <c r="C85" s="2">
        <v>71</v>
      </c>
      <c r="D85" s="6" t="s">
        <v>21</v>
      </c>
      <c r="E85" s="3">
        <f t="shared" si="4"/>
        <v>15.910714285714286</v>
      </c>
      <c r="F85" s="3">
        <f t="shared" si="5"/>
        <v>208.59326263256398</v>
      </c>
      <c r="G85" s="3" t="str" cm="1">
        <f t="array" ref="G85">_xlfn.IFS(E85&gt;=2.5,"NLR&gt;=2.5",E85&lt;2.5,"NLR&lt;2.5")</f>
        <v>NLR&gt;=2.5</v>
      </c>
      <c r="H85" s="3" t="str" cm="1">
        <f t="array" ref="H85">_xlfn.IFS(F85&gt;=150,"PLR&gt;=150",F85&lt;150,"PLR&lt;150")</f>
        <v>PLR&gt;=150</v>
      </c>
      <c r="I85" s="2" t="s">
        <v>0</v>
      </c>
      <c r="J85" s="1">
        <v>1</v>
      </c>
      <c r="K85" s="3">
        <v>9160</v>
      </c>
      <c r="L85" s="3">
        <v>107000</v>
      </c>
      <c r="M85" s="3">
        <v>89.1</v>
      </c>
      <c r="N85" s="3">
        <v>5.6</v>
      </c>
      <c r="O85" s="3">
        <f t="shared" si="6"/>
        <v>512.95999999999992</v>
      </c>
      <c r="P85" s="3">
        <f t="shared" si="7"/>
        <v>8161.5599999999995</v>
      </c>
    </row>
    <row r="86" spans="1:16" x14ac:dyDescent="0.25">
      <c r="A86" s="2">
        <v>85</v>
      </c>
      <c r="B86" s="2" t="s">
        <v>23</v>
      </c>
      <c r="C86" s="2">
        <v>71</v>
      </c>
      <c r="D86" s="6" t="s">
        <v>21</v>
      </c>
      <c r="E86" s="3">
        <f t="shared" si="4"/>
        <v>5.114649681528662</v>
      </c>
      <c r="F86" s="3">
        <f t="shared" si="5"/>
        <v>235.50821602526358</v>
      </c>
      <c r="G86" s="3" t="str" cm="1">
        <f t="array" ref="G86">_xlfn.IFS(E86&gt;=2.5,"NLR&gt;=2.5",E86&lt;2.5,"NLR&lt;2.5")</f>
        <v>NLR&gt;=2.5</v>
      </c>
      <c r="H86" s="3" t="str" cm="1">
        <f t="array" ref="H86">_xlfn.IFS(F86&gt;=150,"PLR&gt;=150",F86&lt;150,"PLR&lt;150")</f>
        <v>PLR&gt;=150</v>
      </c>
      <c r="I86" s="2" t="s">
        <v>0</v>
      </c>
      <c r="J86" s="1">
        <v>1</v>
      </c>
      <c r="K86" s="3">
        <v>9520</v>
      </c>
      <c r="L86" s="3">
        <v>352000</v>
      </c>
      <c r="M86" s="3">
        <v>80.3</v>
      </c>
      <c r="N86" s="3">
        <v>15.7</v>
      </c>
      <c r="O86" s="3">
        <f t="shared" si="6"/>
        <v>1494.64</v>
      </c>
      <c r="P86" s="3">
        <f t="shared" si="7"/>
        <v>7644.5599999999995</v>
      </c>
    </row>
    <row r="87" spans="1:16" x14ac:dyDescent="0.25">
      <c r="A87" s="2">
        <v>86</v>
      </c>
      <c r="B87" s="2" t="s">
        <v>24</v>
      </c>
      <c r="C87" s="2">
        <v>63</v>
      </c>
      <c r="D87" s="6" t="s">
        <v>20</v>
      </c>
      <c r="E87" s="3">
        <f t="shared" si="4"/>
        <v>2.0676691729323307</v>
      </c>
      <c r="F87" s="3">
        <f t="shared" si="5"/>
        <v>88.811478236876596</v>
      </c>
      <c r="G87" s="3" t="str" cm="1">
        <f t="array" ref="G87">_xlfn.IFS(E87&gt;=2.5,"NLR&gt;=2.5",E87&lt;2.5,"NLR&lt;2.5")</f>
        <v>NLR&lt;2.5</v>
      </c>
      <c r="H87" s="3" t="str" cm="1">
        <f t="array" ref="H87">_xlfn.IFS(F87&gt;=150,"PLR&gt;=150",F87&lt;150,"PLR&lt;150")</f>
        <v>PLR&lt;150</v>
      </c>
      <c r="I87" s="2" t="s">
        <v>0</v>
      </c>
      <c r="J87" s="1">
        <v>1</v>
      </c>
      <c r="K87" s="3">
        <v>4360</v>
      </c>
      <c r="L87" s="3">
        <v>103000</v>
      </c>
      <c r="M87" s="3">
        <v>55</v>
      </c>
      <c r="N87" s="3">
        <v>26.6</v>
      </c>
      <c r="O87" s="3">
        <f t="shared" si="6"/>
        <v>1159.76</v>
      </c>
      <c r="P87" s="3">
        <f t="shared" si="7"/>
        <v>2398</v>
      </c>
    </row>
    <row r="88" spans="1:16" x14ac:dyDescent="0.25">
      <c r="A88" s="2">
        <v>87</v>
      </c>
      <c r="B88" s="2" t="s">
        <v>24</v>
      </c>
      <c r="C88" s="2">
        <v>55</v>
      </c>
      <c r="D88" s="6" t="s">
        <v>19</v>
      </c>
      <c r="E88" s="3">
        <f t="shared" si="4"/>
        <v>1.2322946175637395</v>
      </c>
      <c r="F88" s="3">
        <f t="shared" si="5"/>
        <v>140.18782257751562</v>
      </c>
      <c r="G88" s="3" t="str" cm="1">
        <f t="array" ref="G88">_xlfn.IFS(E88&gt;=2.5,"NLR&gt;=2.5",E88&lt;2.5,"NLR&lt;2.5")</f>
        <v>NLR&lt;2.5</v>
      </c>
      <c r="H88" s="3" t="str" cm="1">
        <f t="array" ref="H88">_xlfn.IFS(F88&gt;=150,"PLR&gt;=150",F88&lt;150,"PLR&lt;150")</f>
        <v>PLR&lt;150</v>
      </c>
      <c r="I88" s="2" t="s">
        <v>0</v>
      </c>
      <c r="J88" s="1">
        <v>1</v>
      </c>
      <c r="K88" s="3">
        <v>5840</v>
      </c>
      <c r="L88" s="3">
        <v>289000</v>
      </c>
      <c r="M88" s="3">
        <v>43.5</v>
      </c>
      <c r="N88" s="3">
        <v>35.299999999999997</v>
      </c>
      <c r="O88" s="3">
        <f t="shared" si="6"/>
        <v>2061.52</v>
      </c>
      <c r="P88" s="3">
        <f t="shared" si="7"/>
        <v>2540.4</v>
      </c>
    </row>
    <row r="89" spans="1:16" x14ac:dyDescent="0.25">
      <c r="A89" s="2">
        <v>88</v>
      </c>
      <c r="B89" s="2" t="s">
        <v>23</v>
      </c>
      <c r="C89" s="2">
        <v>64</v>
      </c>
      <c r="D89" s="6" t="s">
        <v>20</v>
      </c>
      <c r="E89" s="3">
        <f t="shared" si="4"/>
        <v>18.411764705882355</v>
      </c>
      <c r="F89" s="3">
        <f t="shared" si="5"/>
        <v>359.53260761010688</v>
      </c>
      <c r="G89" s="3" t="str" cm="1">
        <f t="array" ref="G89">_xlfn.IFS(E89&gt;=2.5,"NLR&gt;=2.5",E89&lt;2.5,"NLR&lt;2.5")</f>
        <v>NLR&gt;=2.5</v>
      </c>
      <c r="H89" s="3" t="str" cm="1">
        <f t="array" ref="H89">_xlfn.IFS(F89&gt;=150,"PLR&gt;=150",F89&lt;150,"PLR&lt;150")</f>
        <v>PLR&gt;=150</v>
      </c>
      <c r="I89" s="2" t="s">
        <v>0</v>
      </c>
      <c r="J89" s="1">
        <v>1</v>
      </c>
      <c r="K89" s="3">
        <v>17670</v>
      </c>
      <c r="L89" s="3">
        <v>324000</v>
      </c>
      <c r="M89" s="3">
        <v>93.9</v>
      </c>
      <c r="N89" s="3">
        <v>5.0999999999999996</v>
      </c>
      <c r="O89" s="3">
        <f t="shared" si="6"/>
        <v>901.17</v>
      </c>
      <c r="P89" s="3">
        <f t="shared" si="7"/>
        <v>16592.13</v>
      </c>
    </row>
    <row r="90" spans="1:16" x14ac:dyDescent="0.25">
      <c r="A90" s="2">
        <v>89</v>
      </c>
      <c r="B90" s="2" t="s">
        <v>24</v>
      </c>
      <c r="C90" s="2">
        <v>61</v>
      </c>
      <c r="D90" s="6" t="s">
        <v>20</v>
      </c>
      <c r="E90" s="3">
        <f t="shared" si="4"/>
        <v>3.4975845410628024</v>
      </c>
      <c r="F90" s="3">
        <f t="shared" si="5"/>
        <v>164.98040288032087</v>
      </c>
      <c r="G90" s="3" t="str" cm="1">
        <f t="array" ref="G90">_xlfn.IFS(E90&gt;=2.5,"NLR&gt;=2.5",E90&lt;2.5,"NLR&lt;2.5")</f>
        <v>NLR&gt;=2.5</v>
      </c>
      <c r="H90" s="3" t="str" cm="1">
        <f t="array" ref="H90">_xlfn.IFS(F90&gt;=150,"PLR&gt;=150",F90&lt;150,"PLR&lt;150")</f>
        <v>PLR&gt;=150</v>
      </c>
      <c r="I90" s="2" t="s">
        <v>0</v>
      </c>
      <c r="J90" s="1">
        <v>1</v>
      </c>
      <c r="K90" s="3">
        <v>10600</v>
      </c>
      <c r="L90" s="3">
        <v>362000</v>
      </c>
      <c r="M90" s="3">
        <v>72.400000000000006</v>
      </c>
      <c r="N90" s="3">
        <v>20.7</v>
      </c>
      <c r="O90" s="3">
        <f t="shared" si="6"/>
        <v>2194.1999999999998</v>
      </c>
      <c r="P90" s="3">
        <f t="shared" si="7"/>
        <v>7674.4000000000005</v>
      </c>
    </row>
    <row r="91" spans="1:16" x14ac:dyDescent="0.25">
      <c r="A91" s="2">
        <v>90</v>
      </c>
      <c r="B91" s="2" t="s">
        <v>23</v>
      </c>
      <c r="C91" s="2">
        <v>47</v>
      </c>
      <c r="D91" s="6" t="s">
        <v>18</v>
      </c>
      <c r="E91" s="3">
        <f t="shared" si="4"/>
        <v>5.5664335664335658</v>
      </c>
      <c r="F91" s="3">
        <f t="shared" si="5"/>
        <v>101.48488409357974</v>
      </c>
      <c r="G91" s="3" t="str" cm="1">
        <f t="array" ref="G91">_xlfn.IFS(E91&gt;=2.5,"NLR&gt;=2.5",E91&lt;2.5,"NLR&lt;2.5")</f>
        <v>NLR&gt;=2.5</v>
      </c>
      <c r="H91" s="3" t="str" cm="1">
        <f t="array" ref="H91">_xlfn.IFS(F91&gt;=150,"PLR&gt;=150",F91&lt;150,"PLR&lt;150")</f>
        <v>PLR&lt;150</v>
      </c>
      <c r="I91" s="2" t="s">
        <v>0</v>
      </c>
      <c r="J91" s="1">
        <v>1</v>
      </c>
      <c r="K91" s="3">
        <v>17020</v>
      </c>
      <c r="L91" s="3">
        <v>247000</v>
      </c>
      <c r="M91" s="3">
        <v>79.599999999999994</v>
      </c>
      <c r="N91" s="3">
        <v>14.3</v>
      </c>
      <c r="O91" s="3">
        <f t="shared" si="6"/>
        <v>2433.86</v>
      </c>
      <c r="P91" s="3">
        <f t="shared" si="7"/>
        <v>13547.919999999998</v>
      </c>
    </row>
    <row r="92" spans="1:16" x14ac:dyDescent="0.25">
      <c r="A92" s="2">
        <v>91</v>
      </c>
      <c r="B92" s="2" t="s">
        <v>23</v>
      </c>
      <c r="C92" s="2">
        <v>42</v>
      </c>
      <c r="D92" s="6" t="s">
        <v>18</v>
      </c>
      <c r="E92" s="3">
        <f t="shared" si="4"/>
        <v>18.82</v>
      </c>
      <c r="F92" s="3">
        <f t="shared" si="5"/>
        <v>176.10474631751228</v>
      </c>
      <c r="G92" s="3" t="str" cm="1">
        <f t="array" ref="G92">_xlfn.IFS(E92&gt;=2.5,"NLR&gt;=2.5",E92&lt;2.5,"NLR&lt;2.5")</f>
        <v>NLR&gt;=2.5</v>
      </c>
      <c r="H92" s="3" t="str" cm="1">
        <f t="array" ref="H92">_xlfn.IFS(F92&gt;=150,"PLR&gt;=150",F92&lt;150,"PLR&lt;150")</f>
        <v>PLR&gt;=150</v>
      </c>
      <c r="I92" s="2" t="s">
        <v>0</v>
      </c>
      <c r="J92" s="1">
        <v>1</v>
      </c>
      <c r="K92" s="11">
        <v>30550</v>
      </c>
      <c r="L92" s="3">
        <v>269000</v>
      </c>
      <c r="M92" s="3">
        <v>94.1</v>
      </c>
      <c r="N92" s="3">
        <v>5</v>
      </c>
      <c r="O92" s="3">
        <f t="shared" si="6"/>
        <v>1527.5</v>
      </c>
      <c r="P92" s="3">
        <f t="shared" si="7"/>
        <v>28747.55</v>
      </c>
    </row>
    <row r="93" spans="1:16" x14ac:dyDescent="0.25">
      <c r="A93" s="2">
        <v>92</v>
      </c>
      <c r="B93" s="2" t="s">
        <v>24</v>
      </c>
      <c r="C93" s="2">
        <v>42</v>
      </c>
      <c r="D93" s="6" t="s">
        <v>18</v>
      </c>
      <c r="E93" s="3">
        <f t="shared" si="4"/>
        <v>6.4715447154471537</v>
      </c>
      <c r="F93" s="3">
        <f t="shared" si="5"/>
        <v>180.21338903565356</v>
      </c>
      <c r="G93" s="3" t="str" cm="1">
        <f t="array" ref="G93">_xlfn.IFS(E93&gt;=2.5,"NLR&gt;=2.5",E93&lt;2.5,"NLR&lt;2.5")</f>
        <v>NLR&gt;=2.5</v>
      </c>
      <c r="H93" s="3" t="str" cm="1">
        <f t="array" ref="H93">_xlfn.IFS(F93&gt;=150,"PLR&gt;=150",F93&lt;150,"PLR&lt;150")</f>
        <v>PLR&gt;=150</v>
      </c>
      <c r="I93" s="2" t="s">
        <v>0</v>
      </c>
      <c r="J93" s="1">
        <v>1</v>
      </c>
      <c r="K93" s="3">
        <v>11910</v>
      </c>
      <c r="L93" s="3">
        <v>264000</v>
      </c>
      <c r="M93" s="3">
        <v>79.599999999999994</v>
      </c>
      <c r="N93" s="3">
        <v>12.3</v>
      </c>
      <c r="O93" s="3">
        <f t="shared" si="6"/>
        <v>1464.93</v>
      </c>
      <c r="P93" s="3">
        <f t="shared" si="7"/>
        <v>9480.3599999999988</v>
      </c>
    </row>
    <row r="94" spans="1:16" x14ac:dyDescent="0.25">
      <c r="A94" s="2">
        <v>93</v>
      </c>
      <c r="B94" s="2" t="s">
        <v>23</v>
      </c>
      <c r="C94" s="2">
        <v>43</v>
      </c>
      <c r="D94" s="6" t="s">
        <v>18</v>
      </c>
      <c r="E94" s="3">
        <f t="shared" si="4"/>
        <v>25.05263157894737</v>
      </c>
      <c r="F94" s="3">
        <f t="shared" si="5"/>
        <v>516.11587107303137</v>
      </c>
      <c r="G94" s="3" t="str" cm="1">
        <f t="array" ref="G94">_xlfn.IFS(E94&gt;=2.5,"NLR&gt;=2.5",E94&lt;2.5,"NLR&lt;2.5")</f>
        <v>NLR&gt;=2.5</v>
      </c>
      <c r="H94" s="3" t="str" cm="1">
        <f t="array" ref="H94">_xlfn.IFS(F94&gt;=150,"PLR&gt;=150",F94&lt;150,"PLR&lt;150")</f>
        <v>PLR&gt;=150</v>
      </c>
      <c r="I94" s="2" t="s">
        <v>0</v>
      </c>
      <c r="J94" s="1">
        <v>1</v>
      </c>
      <c r="K94" s="3">
        <v>12900</v>
      </c>
      <c r="L94" s="3">
        <v>253000</v>
      </c>
      <c r="M94" s="3">
        <v>95.2</v>
      </c>
      <c r="N94" s="3">
        <v>3.8</v>
      </c>
      <c r="O94" s="3">
        <f t="shared" si="6"/>
        <v>490.2</v>
      </c>
      <c r="P94" s="3">
        <f t="shared" si="7"/>
        <v>12280.800000000001</v>
      </c>
    </row>
    <row r="95" spans="1:16" x14ac:dyDescent="0.25">
      <c r="A95" s="2">
        <v>94</v>
      </c>
      <c r="B95" s="2" t="s">
        <v>24</v>
      </c>
      <c r="C95" s="2">
        <v>49</v>
      </c>
      <c r="D95" s="6" t="s">
        <v>18</v>
      </c>
      <c r="E95" s="3">
        <f t="shared" si="4"/>
        <v>2.9563318777292578</v>
      </c>
      <c r="F95" s="3">
        <f t="shared" si="5"/>
        <v>118.85207590507861</v>
      </c>
      <c r="G95" s="3" t="str" cm="1">
        <f t="array" ref="G95">_xlfn.IFS(E95&gt;=2.5,"NLR&gt;=2.5",E95&lt;2.5,"NLR&lt;2.5")</f>
        <v>NLR&gt;=2.5</v>
      </c>
      <c r="H95" s="3" t="str" cm="1">
        <f t="array" ref="H95">_xlfn.IFS(F95&gt;=150,"PLR&gt;=150",F95&lt;150,"PLR&lt;150")</f>
        <v>PLR&lt;150</v>
      </c>
      <c r="I95" s="2" t="s">
        <v>0</v>
      </c>
      <c r="J95" s="1">
        <v>1</v>
      </c>
      <c r="K95" s="3">
        <v>6540</v>
      </c>
      <c r="L95" s="3">
        <v>178000</v>
      </c>
      <c r="M95" s="3">
        <v>67.7</v>
      </c>
      <c r="N95" s="3">
        <v>22.9</v>
      </c>
      <c r="O95" s="3">
        <f t="shared" si="6"/>
        <v>1497.6599999999999</v>
      </c>
      <c r="P95" s="3">
        <f t="shared" si="7"/>
        <v>4427.58</v>
      </c>
    </row>
    <row r="96" spans="1:16" x14ac:dyDescent="0.25">
      <c r="A96" s="2">
        <v>95</v>
      </c>
      <c r="B96" s="2" t="s">
        <v>24</v>
      </c>
      <c r="C96" s="2">
        <v>74</v>
      </c>
      <c r="D96" s="6" t="s">
        <v>21</v>
      </c>
      <c r="E96" s="3">
        <f t="shared" si="4"/>
        <v>9.705882352941174</v>
      </c>
      <c r="F96" s="3">
        <f t="shared" si="5"/>
        <v>306.37254901960779</v>
      </c>
      <c r="G96" s="3" t="str" cm="1">
        <f t="array" ref="G96">_xlfn.IFS(E96&gt;=2.5,"NLR&gt;=2.5",E96&lt;2.5,"NLR&lt;2.5")</f>
        <v>NLR&gt;=2.5</v>
      </c>
      <c r="H96" s="3" t="str" cm="1">
        <f t="array" ref="H96">_xlfn.IFS(F96&gt;=150,"PLR&gt;=150",F96&lt;150,"PLR&lt;150")</f>
        <v>PLR&gt;=150</v>
      </c>
      <c r="I96" s="2" t="s">
        <v>0</v>
      </c>
      <c r="J96" s="1">
        <v>1</v>
      </c>
      <c r="K96" s="3">
        <v>12480</v>
      </c>
      <c r="L96" s="3">
        <v>325000</v>
      </c>
      <c r="M96" s="3">
        <v>82.5</v>
      </c>
      <c r="N96" s="3">
        <v>8.5</v>
      </c>
      <c r="O96" s="3">
        <f t="shared" si="6"/>
        <v>1060.8000000000002</v>
      </c>
      <c r="P96" s="3">
        <f t="shared" si="7"/>
        <v>10296</v>
      </c>
    </row>
    <row r="97" spans="1:16" x14ac:dyDescent="0.25">
      <c r="A97" s="2">
        <v>96</v>
      </c>
      <c r="B97" s="2" t="s">
        <v>23</v>
      </c>
      <c r="C97" s="2">
        <v>40</v>
      </c>
      <c r="D97" s="6" t="s">
        <v>18</v>
      </c>
      <c r="E97" s="3">
        <f t="shared" si="4"/>
        <v>14.390624999999998</v>
      </c>
      <c r="F97" s="3">
        <f t="shared" si="5"/>
        <v>368.40478153338825</v>
      </c>
      <c r="G97" s="3" t="str" cm="1">
        <f t="array" ref="G97">_xlfn.IFS(E97&gt;=2.5,"NLR&gt;=2.5",E97&lt;2.5,"NLR&lt;2.5")</f>
        <v>NLR&gt;=2.5</v>
      </c>
      <c r="H97" s="3" t="str" cm="1">
        <f t="array" ref="H97">_xlfn.IFS(F97&gt;=150,"PLR&gt;=150",F97&lt;150,"PLR&lt;150")</f>
        <v>PLR&gt;=150</v>
      </c>
      <c r="I97" s="2" t="s">
        <v>0</v>
      </c>
      <c r="J97" s="1">
        <v>1</v>
      </c>
      <c r="K97" s="3">
        <v>12130</v>
      </c>
      <c r="L97" s="3">
        <v>286000</v>
      </c>
      <c r="M97" s="3">
        <v>92.1</v>
      </c>
      <c r="N97" s="3">
        <v>6.4</v>
      </c>
      <c r="O97" s="3">
        <f t="shared" si="6"/>
        <v>776.32</v>
      </c>
      <c r="P97" s="3">
        <f t="shared" si="7"/>
        <v>11171.73</v>
      </c>
    </row>
    <row r="98" spans="1:16" x14ac:dyDescent="0.25">
      <c r="A98" s="2">
        <v>97</v>
      </c>
      <c r="B98" s="2" t="s">
        <v>24</v>
      </c>
      <c r="C98" s="2">
        <v>56</v>
      </c>
      <c r="D98" s="6" t="s">
        <v>19</v>
      </c>
      <c r="E98" s="3">
        <f t="shared" si="4"/>
        <v>1.6906249999999998</v>
      </c>
      <c r="F98" s="3">
        <f t="shared" si="5"/>
        <v>112.45479204339964</v>
      </c>
      <c r="G98" s="3" t="str" cm="1">
        <f t="array" ref="G98">_xlfn.IFS(E98&gt;=2.5,"NLR&gt;=2.5",E98&lt;2.5,"NLR&lt;2.5")</f>
        <v>NLR&lt;2.5</v>
      </c>
      <c r="H98" s="3" t="str" cm="1">
        <f t="array" ref="H98">_xlfn.IFS(F98&gt;=150,"PLR&gt;=150",F98&lt;150,"PLR&lt;150")</f>
        <v>PLR&lt;150</v>
      </c>
      <c r="I98" s="2" t="s">
        <v>0</v>
      </c>
      <c r="J98" s="1">
        <v>1</v>
      </c>
      <c r="K98" s="3">
        <v>5530</v>
      </c>
      <c r="L98" s="3">
        <v>199000</v>
      </c>
      <c r="M98" s="3">
        <v>54.1</v>
      </c>
      <c r="N98" s="3">
        <v>32</v>
      </c>
      <c r="O98" s="3">
        <f t="shared" si="6"/>
        <v>1769.6000000000001</v>
      </c>
      <c r="P98" s="3">
        <f t="shared" si="7"/>
        <v>2991.73</v>
      </c>
    </row>
    <row r="99" spans="1:16" x14ac:dyDescent="0.25">
      <c r="A99" s="2">
        <v>98</v>
      </c>
      <c r="B99" s="2" t="s">
        <v>23</v>
      </c>
      <c r="C99" s="2">
        <v>62</v>
      </c>
      <c r="D99" s="6" t="s">
        <v>20</v>
      </c>
      <c r="E99" s="3">
        <f t="shared" si="4"/>
        <v>18.490196078431371</v>
      </c>
      <c r="F99" s="3">
        <f t="shared" si="5"/>
        <v>235.89898684409499</v>
      </c>
      <c r="G99" s="3" t="str" cm="1">
        <f t="array" ref="G99">_xlfn.IFS(E99&gt;=2.5,"NLR&gt;=2.5",E99&lt;2.5,"NLR&lt;2.5")</f>
        <v>NLR&gt;=2.5</v>
      </c>
      <c r="H99" s="3" t="str" cm="1">
        <f t="array" ref="H99">_xlfn.IFS(F99&gt;=150,"PLR&gt;=150",F99&lt;150,"PLR&lt;150")</f>
        <v>PLR&gt;=150</v>
      </c>
      <c r="I99" s="2" t="s">
        <v>0</v>
      </c>
      <c r="J99" s="1">
        <v>1</v>
      </c>
      <c r="K99" s="3">
        <v>19450</v>
      </c>
      <c r="L99" s="3">
        <v>234000</v>
      </c>
      <c r="M99" s="3">
        <v>94.3</v>
      </c>
      <c r="N99" s="3">
        <v>5.0999999999999996</v>
      </c>
      <c r="O99" s="3">
        <f t="shared" si="6"/>
        <v>991.94999999999993</v>
      </c>
      <c r="P99" s="3">
        <f t="shared" si="7"/>
        <v>18341.349999999999</v>
      </c>
    </row>
    <row r="100" spans="1:16" x14ac:dyDescent="0.25">
      <c r="A100" s="2">
        <v>99</v>
      </c>
      <c r="B100" s="2" t="s">
        <v>23</v>
      </c>
      <c r="C100" s="2">
        <v>51</v>
      </c>
      <c r="D100" s="6" t="s">
        <v>19</v>
      </c>
      <c r="E100" s="3">
        <f t="shared" si="4"/>
        <v>5.8550724637681144</v>
      </c>
      <c r="F100" s="3">
        <f t="shared" si="5"/>
        <v>135.65375242943537</v>
      </c>
      <c r="G100" s="3" t="str" cm="1">
        <f t="array" ref="G100">_xlfn.IFS(E100&gt;=2.5,"NLR&gt;=2.5",E100&lt;2.5,"NLR&lt;2.5")</f>
        <v>NLR&gt;=2.5</v>
      </c>
      <c r="H100" s="3" t="str" cm="1">
        <f t="array" ref="H100">_xlfn.IFS(F100&gt;=150,"PLR&gt;=150",F100&lt;150,"PLR&lt;150")</f>
        <v>PLR&lt;150</v>
      </c>
      <c r="I100" s="2" t="s">
        <v>0</v>
      </c>
      <c r="J100" s="1">
        <v>1</v>
      </c>
      <c r="K100" s="3">
        <v>14690</v>
      </c>
      <c r="L100" s="3">
        <v>275000</v>
      </c>
      <c r="M100" s="3">
        <v>80.8</v>
      </c>
      <c r="N100" s="3">
        <v>13.8</v>
      </c>
      <c r="O100" s="3">
        <f t="shared" si="6"/>
        <v>2027.2200000000003</v>
      </c>
      <c r="P100" s="3">
        <f t="shared" si="7"/>
        <v>11869.519999999999</v>
      </c>
    </row>
    <row r="101" spans="1:16" x14ac:dyDescent="0.25">
      <c r="A101" s="2">
        <v>100</v>
      </c>
      <c r="B101" s="2" t="s">
        <v>24</v>
      </c>
      <c r="C101" s="2">
        <v>70</v>
      </c>
      <c r="D101" s="6" t="s">
        <v>21</v>
      </c>
      <c r="E101" s="3">
        <f t="shared" si="4"/>
        <v>13.661290322580646</v>
      </c>
      <c r="F101" s="3">
        <f t="shared" si="5"/>
        <v>372.86029037907463</v>
      </c>
      <c r="G101" s="3" t="str" cm="1">
        <f t="array" ref="G101">_xlfn.IFS(E101&gt;=2.5,"NLR&gt;=2.5",E101&lt;2.5,"NLR&lt;2.5")</f>
        <v>NLR&gt;=2.5</v>
      </c>
      <c r="H101" s="3" t="str" cm="1">
        <f t="array" ref="H101">_xlfn.IFS(F101&gt;=150,"PLR&gt;=150",F101&lt;150,"PLR&lt;150")</f>
        <v>PLR&gt;=150</v>
      </c>
      <c r="I101" s="2" t="s">
        <v>0</v>
      </c>
      <c r="J101" s="1">
        <v>1</v>
      </c>
      <c r="K101" s="3">
        <v>11420</v>
      </c>
      <c r="L101" s="3">
        <v>264000</v>
      </c>
      <c r="M101" s="3">
        <v>84.7</v>
      </c>
      <c r="N101" s="3">
        <v>6.2</v>
      </c>
      <c r="O101" s="3">
        <f t="shared" si="6"/>
        <v>708.04</v>
      </c>
      <c r="P101" s="3">
        <f t="shared" si="7"/>
        <v>9672.74</v>
      </c>
    </row>
    <row r="102" spans="1:16" x14ac:dyDescent="0.25">
      <c r="A102" s="2">
        <v>101</v>
      </c>
      <c r="B102" s="2" t="s">
        <v>24</v>
      </c>
      <c r="C102" s="2">
        <v>76</v>
      </c>
      <c r="D102" s="6" t="s">
        <v>21</v>
      </c>
      <c r="E102" s="3">
        <f t="shared" si="4"/>
        <v>12.681159420289854</v>
      </c>
      <c r="F102" s="3">
        <f t="shared" si="5"/>
        <v>250.18005382661761</v>
      </c>
      <c r="G102" s="3" t="str" cm="1">
        <f t="array" ref="G102">_xlfn.IFS(E102&gt;=2.5,"NLR&gt;=2.5",E102&lt;2.5,"NLR&lt;2.5")</f>
        <v>NLR&gt;=2.5</v>
      </c>
      <c r="H102" s="3" t="str" cm="1">
        <f t="array" ref="H102">_xlfn.IFS(F102&gt;=150,"PLR&gt;=150",F102&lt;150,"PLR&lt;150")</f>
        <v>PLR&gt;=150</v>
      </c>
      <c r="I102" s="2" t="s">
        <v>0</v>
      </c>
      <c r="J102" s="1">
        <v>1</v>
      </c>
      <c r="K102" s="3">
        <v>11470</v>
      </c>
      <c r="L102" s="3">
        <v>198000</v>
      </c>
      <c r="M102" s="3">
        <v>87.5</v>
      </c>
      <c r="N102" s="3">
        <v>6.9</v>
      </c>
      <c r="O102" s="3">
        <f t="shared" si="6"/>
        <v>791.43000000000006</v>
      </c>
      <c r="P102" s="3">
        <f t="shared" si="7"/>
        <v>10036.25</v>
      </c>
    </row>
    <row r="103" spans="1:16" x14ac:dyDescent="0.25">
      <c r="A103" s="2">
        <v>102</v>
      </c>
      <c r="B103" s="2" t="s">
        <v>24</v>
      </c>
      <c r="C103" s="2">
        <v>40</v>
      </c>
      <c r="D103" s="6" t="s">
        <v>18</v>
      </c>
      <c r="E103" s="3">
        <f t="shared" si="4"/>
        <v>3.7450000000000006</v>
      </c>
      <c r="F103" s="3">
        <f t="shared" si="5"/>
        <v>71.927374301675982</v>
      </c>
      <c r="G103" s="3" t="str" cm="1">
        <f t="array" ref="G103">_xlfn.IFS(E103&gt;=2.5,"NLR&gt;=2.5",E103&lt;2.5,"NLR&lt;2.5")</f>
        <v>NLR&gt;=2.5</v>
      </c>
      <c r="H103" s="3" t="str" cm="1">
        <f t="array" ref="H103">_xlfn.IFS(F103&gt;=150,"PLR&gt;=150",F103&lt;150,"PLR&lt;150")</f>
        <v>PLR&lt;150</v>
      </c>
      <c r="I103" s="2" t="s">
        <v>0</v>
      </c>
      <c r="J103" s="1">
        <v>1</v>
      </c>
      <c r="K103" s="3">
        <v>14320</v>
      </c>
      <c r="L103" s="3">
        <v>206000</v>
      </c>
      <c r="M103" s="3">
        <v>74.900000000000006</v>
      </c>
      <c r="N103" s="3">
        <v>20</v>
      </c>
      <c r="O103" s="3">
        <f t="shared" si="6"/>
        <v>2864</v>
      </c>
      <c r="P103" s="3">
        <f t="shared" si="7"/>
        <v>10725.680000000002</v>
      </c>
    </row>
    <row r="104" spans="1:16" x14ac:dyDescent="0.25">
      <c r="A104" s="2">
        <v>103</v>
      </c>
      <c r="B104" s="2" t="s">
        <v>24</v>
      </c>
      <c r="C104" s="2">
        <v>69</v>
      </c>
      <c r="D104" s="6" t="s">
        <v>20</v>
      </c>
      <c r="E104" s="3">
        <f t="shared" si="4"/>
        <v>6.5691056910569099</v>
      </c>
      <c r="F104" s="3">
        <f t="shared" si="5"/>
        <v>377.57139137227665</v>
      </c>
      <c r="G104" s="3" t="str" cm="1">
        <f t="array" ref="G104">_xlfn.IFS(E104&gt;=2.5,"NLR&gt;=2.5",E104&lt;2.5,"NLR&lt;2.5")</f>
        <v>NLR&gt;=2.5</v>
      </c>
      <c r="H104" s="3" t="str" cm="1">
        <f t="array" ref="H104">_xlfn.IFS(F104&gt;=150,"PLR&gt;=150",F104&lt;150,"PLR&lt;150")</f>
        <v>PLR&gt;=150</v>
      </c>
      <c r="I104" s="2" t="s">
        <v>0</v>
      </c>
      <c r="J104" s="1">
        <v>1</v>
      </c>
      <c r="K104" s="3">
        <v>11240</v>
      </c>
      <c r="L104" s="3">
        <v>522000</v>
      </c>
      <c r="M104" s="3">
        <v>80.8</v>
      </c>
      <c r="N104" s="3">
        <v>12.3</v>
      </c>
      <c r="O104" s="3">
        <f t="shared" si="6"/>
        <v>1382.5200000000002</v>
      </c>
      <c r="P104" s="3">
        <f t="shared" si="7"/>
        <v>9081.92</v>
      </c>
    </row>
    <row r="105" spans="1:16" x14ac:dyDescent="0.25">
      <c r="A105" s="2">
        <v>104</v>
      </c>
      <c r="B105" s="2" t="s">
        <v>23</v>
      </c>
      <c r="C105" s="2">
        <v>44</v>
      </c>
      <c r="D105" s="6" t="s">
        <v>18</v>
      </c>
      <c r="E105" s="3">
        <f t="shared" si="4"/>
        <v>21.906976744186046</v>
      </c>
      <c r="F105" s="3">
        <f t="shared" si="5"/>
        <v>481.09071996433613</v>
      </c>
      <c r="G105" s="3" t="str" cm="1">
        <f t="array" ref="G105">_xlfn.IFS(E105&gt;=2.5,"NLR&gt;=2.5",E105&lt;2.5,"NLR&lt;2.5")</f>
        <v>NLR&gt;=2.5</v>
      </c>
      <c r="H105" s="3" t="str" cm="1">
        <f t="array" ref="H105">_xlfn.IFS(F105&gt;=150,"PLR&gt;=150",F105&lt;150,"PLR&lt;150")</f>
        <v>PLR&gt;=150</v>
      </c>
      <c r="I105" s="2" t="s">
        <v>0</v>
      </c>
      <c r="J105" s="1">
        <v>1</v>
      </c>
      <c r="K105" s="3">
        <v>12520</v>
      </c>
      <c r="L105" s="3">
        <v>259000</v>
      </c>
      <c r="M105" s="3">
        <v>94.2</v>
      </c>
      <c r="N105" s="3">
        <v>4.3</v>
      </c>
      <c r="O105" s="3">
        <f t="shared" si="6"/>
        <v>538.36</v>
      </c>
      <c r="P105" s="3">
        <f t="shared" si="7"/>
        <v>11793.84</v>
      </c>
    </row>
    <row r="106" spans="1:16" x14ac:dyDescent="0.25">
      <c r="A106" s="2">
        <v>105</v>
      </c>
      <c r="B106" s="2" t="s">
        <v>24</v>
      </c>
      <c r="C106" s="2">
        <v>67</v>
      </c>
      <c r="D106" s="6" t="s">
        <v>20</v>
      </c>
      <c r="E106" s="3">
        <f t="shared" si="4"/>
        <v>5.0063694267515917</v>
      </c>
      <c r="F106" s="3">
        <f t="shared" si="5"/>
        <v>86.855819339895774</v>
      </c>
      <c r="G106" s="3" t="str" cm="1">
        <f t="array" ref="G106">_xlfn.IFS(E106&gt;=2.5,"NLR&gt;=2.5",E106&lt;2.5,"NLR&lt;2.5")</f>
        <v>NLR&gt;=2.5</v>
      </c>
      <c r="H106" s="3" t="str" cm="1">
        <f t="array" ref="H106">_xlfn.IFS(F106&gt;=150,"PLR&gt;=150",F106&lt;150,"PLR&lt;150")</f>
        <v>PLR&lt;150</v>
      </c>
      <c r="I106" s="2" t="s">
        <v>0</v>
      </c>
      <c r="J106" s="1">
        <v>1</v>
      </c>
      <c r="K106" s="3">
        <v>11880</v>
      </c>
      <c r="L106" s="3">
        <v>162000</v>
      </c>
      <c r="M106" s="3">
        <v>78.599999999999994</v>
      </c>
      <c r="N106" s="3">
        <v>15.7</v>
      </c>
      <c r="O106" s="3">
        <f t="shared" si="6"/>
        <v>1865.16</v>
      </c>
      <c r="P106" s="3">
        <f t="shared" si="7"/>
        <v>9337.6799999999985</v>
      </c>
    </row>
    <row r="107" spans="1:16" x14ac:dyDescent="0.25">
      <c r="A107" s="2">
        <v>106</v>
      </c>
      <c r="B107" s="2" t="s">
        <v>24</v>
      </c>
      <c r="C107" s="2">
        <v>69</v>
      </c>
      <c r="D107" s="6" t="s">
        <v>20</v>
      </c>
      <c r="E107" s="3">
        <f t="shared" si="4"/>
        <v>27.47058823529412</v>
      </c>
      <c r="F107" s="3">
        <f t="shared" si="5"/>
        <v>614.25061425061415</v>
      </c>
      <c r="G107" s="3" t="str" cm="1">
        <f t="array" ref="G107">_xlfn.IFS(E107&gt;=2.5,"NLR&gt;=2.5",E107&lt;2.5,"NLR&lt;2.5")</f>
        <v>NLR&gt;=2.5</v>
      </c>
      <c r="H107" s="3" t="str" cm="1">
        <f t="array" ref="H107">_xlfn.IFS(F107&gt;=150,"PLR&gt;=150",F107&lt;150,"PLR&lt;150")</f>
        <v>PLR&gt;=150</v>
      </c>
      <c r="I107" s="2" t="s">
        <v>0</v>
      </c>
      <c r="J107" s="1">
        <v>1</v>
      </c>
      <c r="K107" s="3">
        <v>12210</v>
      </c>
      <c r="L107" s="3">
        <v>255000</v>
      </c>
      <c r="M107" s="3">
        <v>93.4</v>
      </c>
      <c r="N107" s="3">
        <v>3.4</v>
      </c>
      <c r="O107" s="3">
        <f t="shared" si="6"/>
        <v>415.14000000000004</v>
      </c>
      <c r="P107" s="3">
        <f t="shared" si="7"/>
        <v>11404.140000000001</v>
      </c>
    </row>
    <row r="108" spans="1:16" x14ac:dyDescent="0.25">
      <c r="A108" s="2">
        <v>107</v>
      </c>
      <c r="B108" s="2" t="s">
        <v>24</v>
      </c>
      <c r="C108" s="2">
        <v>54</v>
      </c>
      <c r="D108" s="6" t="s">
        <v>19</v>
      </c>
      <c r="E108" s="3">
        <f t="shared" si="4"/>
        <v>2.8068669527896994</v>
      </c>
      <c r="F108" s="3">
        <f t="shared" si="5"/>
        <v>147.58305616294905</v>
      </c>
      <c r="G108" s="3" t="str" cm="1">
        <f t="array" ref="G108">_xlfn.IFS(E108&gt;=2.5,"NLR&gt;=2.5",E108&lt;2.5,"NLR&lt;2.5")</f>
        <v>NLR&gt;=2.5</v>
      </c>
      <c r="H108" s="3" t="str" cm="1">
        <f t="array" ref="H108">_xlfn.IFS(F108&gt;=150,"PLR&gt;=150",F108&lt;150,"PLR&lt;150")</f>
        <v>PLR&lt;150</v>
      </c>
      <c r="I108" s="2" t="s">
        <v>0</v>
      </c>
      <c r="J108" s="1">
        <v>1</v>
      </c>
      <c r="K108" s="3">
        <v>7910</v>
      </c>
      <c r="L108" s="3">
        <v>272000</v>
      </c>
      <c r="M108" s="3">
        <v>65.400000000000006</v>
      </c>
      <c r="N108" s="3">
        <v>23.3</v>
      </c>
      <c r="O108" s="3">
        <f t="shared" si="6"/>
        <v>1843.0300000000002</v>
      </c>
      <c r="P108" s="3">
        <f t="shared" si="7"/>
        <v>5173.1400000000003</v>
      </c>
    </row>
    <row r="109" spans="1:16" x14ac:dyDescent="0.25">
      <c r="A109" s="2">
        <v>108</v>
      </c>
      <c r="B109" s="2" t="s">
        <v>24</v>
      </c>
      <c r="C109" s="2">
        <v>76</v>
      </c>
      <c r="D109" s="6" t="s">
        <v>21</v>
      </c>
      <c r="E109" s="3">
        <f t="shared" si="4"/>
        <v>10.000000000000002</v>
      </c>
      <c r="F109" s="3">
        <f t="shared" si="5"/>
        <v>349.31419048839899</v>
      </c>
      <c r="G109" s="3" t="str" cm="1">
        <f t="array" ref="G109">_xlfn.IFS(E109&gt;=2.5,"NLR&gt;=2.5",E109&lt;2.5,"NLR&lt;2.5")</f>
        <v>NLR&gt;=2.5</v>
      </c>
      <c r="H109" s="3" t="str" cm="1">
        <f t="array" ref="H109">_xlfn.IFS(F109&gt;=150,"PLR&gt;=150",F109&lt;150,"PLR&lt;150")</f>
        <v>PLR&gt;=150</v>
      </c>
      <c r="I109" s="2" t="s">
        <v>0</v>
      </c>
      <c r="J109" s="1">
        <v>1</v>
      </c>
      <c r="K109" s="3">
        <v>10760</v>
      </c>
      <c r="L109" s="3">
        <v>327000</v>
      </c>
      <c r="M109" s="3">
        <v>87</v>
      </c>
      <c r="N109" s="3">
        <v>8.6999999999999993</v>
      </c>
      <c r="O109" s="3">
        <f t="shared" si="6"/>
        <v>936.11999999999989</v>
      </c>
      <c r="P109" s="3">
        <f t="shared" si="7"/>
        <v>9361.2000000000007</v>
      </c>
    </row>
    <row r="110" spans="1:16" x14ac:dyDescent="0.25">
      <c r="A110" s="2">
        <v>109</v>
      </c>
      <c r="B110" s="2" t="s">
        <v>24</v>
      </c>
      <c r="C110" s="2">
        <v>66</v>
      </c>
      <c r="D110" s="6" t="s">
        <v>20</v>
      </c>
      <c r="E110" s="3">
        <f t="shared" si="4"/>
        <v>12.714285714285714</v>
      </c>
      <c r="F110" s="3">
        <f t="shared" si="5"/>
        <v>139.01212658976632</v>
      </c>
      <c r="G110" s="3" t="str" cm="1">
        <f t="array" ref="G110">_xlfn.IFS(E110&gt;=2.5,"NLR&gt;=2.5",E110&lt;2.5,"NLR&lt;2.5")</f>
        <v>NLR&gt;=2.5</v>
      </c>
      <c r="H110" s="3" t="str" cm="1">
        <f t="array" ref="H110">_xlfn.IFS(F110&gt;=150,"PLR&gt;=150",F110&lt;150,"PLR&lt;150")</f>
        <v>PLR&lt;150</v>
      </c>
      <c r="I110" s="2" t="s">
        <v>0</v>
      </c>
      <c r="J110" s="1">
        <v>1</v>
      </c>
      <c r="K110" s="3">
        <v>14490</v>
      </c>
      <c r="L110" s="3">
        <v>141000</v>
      </c>
      <c r="M110" s="3">
        <v>89</v>
      </c>
      <c r="N110" s="3">
        <v>7</v>
      </c>
      <c r="O110" s="3">
        <f t="shared" si="6"/>
        <v>1014.3000000000001</v>
      </c>
      <c r="P110" s="3">
        <f t="shared" si="7"/>
        <v>12896.1</v>
      </c>
    </row>
    <row r="111" spans="1:16" x14ac:dyDescent="0.25">
      <c r="A111" s="2">
        <v>110</v>
      </c>
      <c r="B111" s="2" t="s">
        <v>23</v>
      </c>
      <c r="C111" s="2">
        <v>87</v>
      </c>
      <c r="D111" s="6" t="s">
        <v>22</v>
      </c>
      <c r="E111" s="3">
        <f t="shared" si="4"/>
        <v>2.9259259259259256</v>
      </c>
      <c r="F111" s="3">
        <f t="shared" si="5"/>
        <v>287.18011609843836</v>
      </c>
      <c r="G111" s="3" t="str" cm="1">
        <f t="array" ref="G111">_xlfn.IFS(E111&gt;=2.5,"NLR&gt;=2.5",E111&lt;2.5,"NLR&lt;2.5")</f>
        <v>NLR&gt;=2.5</v>
      </c>
      <c r="H111" s="3" t="str" cm="1">
        <f t="array" ref="H111">_xlfn.IFS(F111&gt;=150,"PLR&gt;=150",F111&lt;150,"PLR&lt;150")</f>
        <v>PLR&gt;=150</v>
      </c>
      <c r="I111" s="2" t="s">
        <v>0</v>
      </c>
      <c r="J111" s="1">
        <v>1</v>
      </c>
      <c r="K111" s="3">
        <v>4530</v>
      </c>
      <c r="L111" s="3">
        <v>281000</v>
      </c>
      <c r="M111" s="3">
        <v>63.2</v>
      </c>
      <c r="N111" s="3">
        <v>21.6</v>
      </c>
      <c r="O111" s="3">
        <f t="shared" si="6"/>
        <v>978.48000000000013</v>
      </c>
      <c r="P111" s="3">
        <f t="shared" si="7"/>
        <v>2862.96</v>
      </c>
    </row>
    <row r="112" spans="1:16" x14ac:dyDescent="0.25">
      <c r="A112" s="2">
        <v>111</v>
      </c>
      <c r="B112" s="2" t="s">
        <v>23</v>
      </c>
      <c r="C112" s="2">
        <v>46</v>
      </c>
      <c r="D112" s="6" t="s">
        <v>18</v>
      </c>
      <c r="E112" s="3">
        <f t="shared" si="4"/>
        <v>2.7408906882591095</v>
      </c>
      <c r="F112" s="3">
        <f t="shared" si="5"/>
        <v>108.45432710052184</v>
      </c>
      <c r="G112" s="3" t="str" cm="1">
        <f t="array" ref="G112">_xlfn.IFS(E112&gt;=2.5,"NLR&gt;=2.5",E112&lt;2.5,"NLR&lt;2.5")</f>
        <v>NLR&gt;=2.5</v>
      </c>
      <c r="H112" s="3" t="str" cm="1">
        <f t="array" ref="H112">_xlfn.IFS(F112&gt;=150,"PLR&gt;=150",F112&lt;150,"PLR&lt;150")</f>
        <v>PLR&lt;150</v>
      </c>
      <c r="I112" s="2" t="s">
        <v>0</v>
      </c>
      <c r="J112" s="1">
        <v>1</v>
      </c>
      <c r="K112" s="3">
        <v>7130</v>
      </c>
      <c r="L112" s="3">
        <v>191000</v>
      </c>
      <c r="M112" s="3">
        <v>67.7</v>
      </c>
      <c r="N112" s="3">
        <v>24.7</v>
      </c>
      <c r="O112" s="3">
        <f t="shared" si="6"/>
        <v>1761.11</v>
      </c>
      <c r="P112" s="3">
        <f t="shared" si="7"/>
        <v>4827.01</v>
      </c>
    </row>
    <row r="113" spans="1:16" x14ac:dyDescent="0.25">
      <c r="A113" s="2">
        <v>112</v>
      </c>
      <c r="B113" s="2" t="s">
        <v>23</v>
      </c>
      <c r="C113" s="2">
        <v>75</v>
      </c>
      <c r="D113" s="6" t="s">
        <v>21</v>
      </c>
      <c r="E113" s="3">
        <f t="shared" si="4"/>
        <v>2.8272727272727272</v>
      </c>
      <c r="F113" s="3">
        <f t="shared" si="5"/>
        <v>119.09795630725863</v>
      </c>
      <c r="G113" s="3" t="str" cm="1">
        <f t="array" ref="G113">_xlfn.IFS(E113&gt;=2.5,"NLR&gt;=2.5",E113&lt;2.5,"NLR&lt;2.5")</f>
        <v>NLR&gt;=2.5</v>
      </c>
      <c r="H113" s="3" t="str" cm="1">
        <f t="array" ref="H113">_xlfn.IFS(F113&gt;=150,"PLR&gt;=150",F113&lt;150,"PLR&lt;150")</f>
        <v>PLR&lt;150</v>
      </c>
      <c r="I113" s="2" t="s">
        <v>0</v>
      </c>
      <c r="J113" s="1">
        <v>1</v>
      </c>
      <c r="K113" s="3">
        <v>6450</v>
      </c>
      <c r="L113" s="3">
        <v>169000</v>
      </c>
      <c r="M113" s="3">
        <v>62.2</v>
      </c>
      <c r="N113" s="3">
        <v>22</v>
      </c>
      <c r="O113" s="3">
        <f t="shared" si="6"/>
        <v>1419</v>
      </c>
      <c r="P113" s="3">
        <f t="shared" si="7"/>
        <v>4011.9</v>
      </c>
    </row>
    <row r="114" spans="1:16" x14ac:dyDescent="0.25">
      <c r="A114" s="2">
        <v>113</v>
      </c>
      <c r="B114" s="2" t="s">
        <v>24</v>
      </c>
      <c r="C114" s="2">
        <v>58</v>
      </c>
      <c r="D114" s="6" t="s">
        <v>19</v>
      </c>
      <c r="E114" s="3">
        <f t="shared" si="4"/>
        <v>31.333333333333336</v>
      </c>
      <c r="F114" s="3">
        <f t="shared" si="5"/>
        <v>423.5145385587864</v>
      </c>
      <c r="G114" s="3" t="str" cm="1">
        <f t="array" ref="G114">_xlfn.IFS(E114&gt;=2.5,"NLR&gt;=2.5",E114&lt;2.5,"NLR&lt;2.5")</f>
        <v>NLR&gt;=2.5</v>
      </c>
      <c r="H114" s="3" t="str" cm="1">
        <f t="array" ref="H114">_xlfn.IFS(F114&gt;=150,"PLR&gt;=150",F114&lt;150,"PLR&lt;150")</f>
        <v>PLR&gt;=150</v>
      </c>
      <c r="I114" s="2" t="s">
        <v>0</v>
      </c>
      <c r="J114" s="1">
        <v>1</v>
      </c>
      <c r="K114" s="3">
        <v>15820</v>
      </c>
      <c r="L114" s="3">
        <v>201000</v>
      </c>
      <c r="M114" s="3">
        <v>94</v>
      </c>
      <c r="N114" s="3">
        <v>3</v>
      </c>
      <c r="O114" s="3">
        <f t="shared" si="6"/>
        <v>474.59999999999997</v>
      </c>
      <c r="P114" s="3">
        <f t="shared" si="7"/>
        <v>14870.8</v>
      </c>
    </row>
    <row r="115" spans="1:16" x14ac:dyDescent="0.25">
      <c r="A115" s="2">
        <v>114</v>
      </c>
      <c r="B115" s="2" t="s">
        <v>24</v>
      </c>
      <c r="C115" s="2">
        <v>55</v>
      </c>
      <c r="D115" s="6" t="s">
        <v>19</v>
      </c>
      <c r="E115" s="3">
        <f t="shared" si="4"/>
        <v>7.045454545454545</v>
      </c>
      <c r="F115" s="3">
        <f t="shared" si="5"/>
        <v>304.60858585858585</v>
      </c>
      <c r="G115" s="3" t="str" cm="1">
        <f t="array" ref="G115">_xlfn.IFS(E115&gt;=2.5,"NLR&gt;=2.5",E115&lt;2.5,"NLR&lt;2.5")</f>
        <v>NLR&gt;=2.5</v>
      </c>
      <c r="H115" s="3" t="str" cm="1">
        <f t="array" ref="H115">_xlfn.IFS(F115&gt;=150,"PLR&gt;=150",F115&lt;150,"PLR&lt;150")</f>
        <v>PLR&gt;=150</v>
      </c>
      <c r="I115" s="2" t="s">
        <v>0</v>
      </c>
      <c r="J115" s="1">
        <v>1</v>
      </c>
      <c r="K115" s="3">
        <v>11520</v>
      </c>
      <c r="L115" s="3">
        <v>386000</v>
      </c>
      <c r="M115" s="3">
        <v>77.5</v>
      </c>
      <c r="N115" s="3">
        <v>11</v>
      </c>
      <c r="O115" s="3">
        <f t="shared" si="6"/>
        <v>1267.2</v>
      </c>
      <c r="P115" s="3">
        <f t="shared" si="7"/>
        <v>8928</v>
      </c>
    </row>
    <row r="116" spans="1:16" x14ac:dyDescent="0.25">
      <c r="A116" s="2">
        <v>115</v>
      </c>
      <c r="B116" s="2" t="s">
        <v>24</v>
      </c>
      <c r="C116" s="2">
        <v>49</v>
      </c>
      <c r="D116" s="6" t="s">
        <v>18</v>
      </c>
      <c r="E116" s="3">
        <f t="shared" si="4"/>
        <v>3.6853932584269651</v>
      </c>
      <c r="F116" s="3">
        <f t="shared" si="5"/>
        <v>176.27048757860013</v>
      </c>
      <c r="G116" s="3" t="str" cm="1">
        <f t="array" ref="G116">_xlfn.IFS(E116&gt;=2.5,"NLR&gt;=2.5",E116&lt;2.5,"NLR&lt;2.5")</f>
        <v>NLR&gt;=2.5</v>
      </c>
      <c r="H116" s="3" t="str" cm="1">
        <f t="array" ref="H116">_xlfn.IFS(F116&gt;=150,"PLR&gt;=150",F116&lt;150,"PLR&lt;150")</f>
        <v>PLR&gt;=150</v>
      </c>
      <c r="I116" s="2" t="s">
        <v>0</v>
      </c>
      <c r="J116" s="1">
        <v>1</v>
      </c>
      <c r="K116" s="3">
        <v>5450</v>
      </c>
      <c r="L116" s="3">
        <v>171000</v>
      </c>
      <c r="M116" s="3">
        <v>65.599999999999994</v>
      </c>
      <c r="N116" s="3">
        <v>17.8</v>
      </c>
      <c r="O116" s="3">
        <f t="shared" si="6"/>
        <v>970.10000000000014</v>
      </c>
      <c r="P116" s="3">
        <f t="shared" si="7"/>
        <v>3575.1999999999994</v>
      </c>
    </row>
    <row r="117" spans="1:16" x14ac:dyDescent="0.25">
      <c r="A117" s="2">
        <v>116</v>
      </c>
      <c r="B117" s="2" t="s">
        <v>24</v>
      </c>
      <c r="C117" s="1">
        <v>74</v>
      </c>
      <c r="D117" s="6" t="s">
        <v>21</v>
      </c>
      <c r="E117" s="3">
        <f t="shared" si="4"/>
        <v>1.2206235011990405</v>
      </c>
      <c r="F117" s="3">
        <f t="shared" si="5"/>
        <v>73.645498188781019</v>
      </c>
      <c r="G117" s="3" t="str" cm="1">
        <f t="array" ref="G117">_xlfn.IFS(E117&gt;=2.5,"NLR&gt;=2.5",E117&lt;2.5,"NLR&lt;2.5")</f>
        <v>NLR&lt;2.5</v>
      </c>
      <c r="H117" s="3" t="str" cm="1">
        <f t="array" ref="H117">_xlfn.IFS(F117&gt;=150,"PLR&gt;=150",F117&lt;150,"PLR&lt;150")</f>
        <v>PLR&lt;150</v>
      </c>
      <c r="I117" s="1" t="s">
        <v>1</v>
      </c>
      <c r="J117" s="1">
        <v>2</v>
      </c>
      <c r="K117" s="3">
        <v>5210</v>
      </c>
      <c r="L117" s="3">
        <v>160000</v>
      </c>
      <c r="M117" s="3">
        <v>50.9</v>
      </c>
      <c r="N117" s="3">
        <v>41.7</v>
      </c>
      <c r="O117" s="3">
        <f t="shared" si="6"/>
        <v>2172.5700000000002</v>
      </c>
      <c r="P117" s="3">
        <f t="shared" si="7"/>
        <v>2651.89</v>
      </c>
    </row>
    <row r="118" spans="1:16" x14ac:dyDescent="0.25">
      <c r="A118" s="2">
        <v>117</v>
      </c>
      <c r="B118" s="2" t="s">
        <v>24</v>
      </c>
      <c r="C118" s="1">
        <v>61</v>
      </c>
      <c r="D118" s="6" t="s">
        <v>20</v>
      </c>
      <c r="E118" s="3">
        <f t="shared" si="4"/>
        <v>1.7278106508875737</v>
      </c>
      <c r="F118" s="3">
        <f t="shared" si="5"/>
        <v>83.996463306808138</v>
      </c>
      <c r="G118" s="3" t="str" cm="1">
        <f t="array" ref="G118">_xlfn.IFS(E118&gt;=2.5,"NLR&gt;=2.5",E118&lt;2.5,"NLR&lt;2.5")</f>
        <v>NLR&lt;2.5</v>
      </c>
      <c r="H118" s="3" t="str" cm="1">
        <f t="array" ref="H118">_xlfn.IFS(F118&gt;=150,"PLR&gt;=150",F118&lt;150,"PLR&lt;150")</f>
        <v>PLR&lt;150</v>
      </c>
      <c r="I118" s="1" t="s">
        <v>1</v>
      </c>
      <c r="J118" s="1">
        <v>2</v>
      </c>
      <c r="K118" s="3">
        <v>8700</v>
      </c>
      <c r="L118" s="3">
        <v>247000</v>
      </c>
      <c r="M118" s="3">
        <v>58.4</v>
      </c>
      <c r="N118" s="3">
        <v>33.799999999999997</v>
      </c>
      <c r="O118" s="3">
        <f t="shared" si="6"/>
        <v>2940.6</v>
      </c>
      <c r="P118" s="3">
        <f t="shared" si="7"/>
        <v>5080.7999999999993</v>
      </c>
    </row>
    <row r="119" spans="1:16" x14ac:dyDescent="0.25">
      <c r="A119" s="2">
        <v>118</v>
      </c>
      <c r="B119" s="1" t="s">
        <v>23</v>
      </c>
      <c r="C119" s="1">
        <v>75</v>
      </c>
      <c r="D119" s="6" t="s">
        <v>21</v>
      </c>
      <c r="E119" s="3">
        <f t="shared" si="4"/>
        <v>2.2245614035087722</v>
      </c>
      <c r="F119" s="3">
        <f t="shared" si="5"/>
        <v>177.04077545461828</v>
      </c>
      <c r="G119" s="3" t="str" cm="1">
        <f t="array" ref="G119">_xlfn.IFS(E119&gt;=2.5,"NLR&gt;=2.5",E119&lt;2.5,"NLR&lt;2.5")</f>
        <v>NLR&lt;2.5</v>
      </c>
      <c r="H119" s="3" t="str" cm="1">
        <f t="array" ref="H119">_xlfn.IFS(F119&gt;=150,"PLR&gt;=150",F119&lt;150,"PLR&lt;150")</f>
        <v>PLR&gt;=150</v>
      </c>
      <c r="I119" s="1" t="s">
        <v>1</v>
      </c>
      <c r="J119" s="1">
        <v>2</v>
      </c>
      <c r="K119" s="3">
        <v>8760</v>
      </c>
      <c r="L119" s="3">
        <v>442000</v>
      </c>
      <c r="M119" s="3">
        <v>63.4</v>
      </c>
      <c r="N119" s="3">
        <v>28.5</v>
      </c>
      <c r="O119" s="3">
        <f t="shared" si="6"/>
        <v>2496.6</v>
      </c>
      <c r="P119" s="3">
        <f t="shared" si="7"/>
        <v>5553.84</v>
      </c>
    </row>
    <row r="120" spans="1:16" x14ac:dyDescent="0.25">
      <c r="A120" s="2">
        <v>119</v>
      </c>
      <c r="B120" s="1" t="s">
        <v>23</v>
      </c>
      <c r="C120" s="1">
        <v>81</v>
      </c>
      <c r="D120" s="6" t="s">
        <v>22</v>
      </c>
      <c r="E120" s="3">
        <f t="shared" si="4"/>
        <v>4.5649350649350655</v>
      </c>
      <c r="F120" s="3">
        <f t="shared" si="5"/>
        <v>256.16585249612774</v>
      </c>
      <c r="G120" s="3" t="str" cm="1">
        <f t="array" ref="G120">_xlfn.IFS(E120&gt;=2.5,"NLR&gt;=2.5",E120&lt;2.5,"NLR&lt;2.5")</f>
        <v>NLR&gt;=2.5</v>
      </c>
      <c r="H120" s="3" t="str" cm="1">
        <f t="array" ref="H120">_xlfn.IFS(F120&gt;=150,"PLR&gt;=150",F120&lt;150,"PLR&lt;150")</f>
        <v>PLR&gt;=150</v>
      </c>
      <c r="I120" s="1" t="s">
        <v>1</v>
      </c>
      <c r="J120" s="1">
        <v>2</v>
      </c>
      <c r="K120" s="3">
        <v>5450</v>
      </c>
      <c r="L120" s="3">
        <v>215000</v>
      </c>
      <c r="M120" s="3">
        <v>70.3</v>
      </c>
      <c r="N120" s="3">
        <v>15.4</v>
      </c>
      <c r="O120" s="3">
        <f t="shared" si="6"/>
        <v>839.3</v>
      </c>
      <c r="P120" s="3">
        <f t="shared" si="7"/>
        <v>3831.35</v>
      </c>
    </row>
    <row r="121" spans="1:16" x14ac:dyDescent="0.25">
      <c r="A121" s="2">
        <v>120</v>
      </c>
      <c r="B121" s="2" t="s">
        <v>24</v>
      </c>
      <c r="C121" s="1">
        <v>77</v>
      </c>
      <c r="D121" s="6" t="s">
        <v>21</v>
      </c>
      <c r="E121" s="3">
        <f t="shared" si="4"/>
        <v>10.421686746987952</v>
      </c>
      <c r="F121" s="3">
        <f t="shared" si="5"/>
        <v>776.12035443360742</v>
      </c>
      <c r="G121" s="3" t="str" cm="1">
        <f t="array" ref="G121">_xlfn.IFS(E121&gt;=2.5,"NLR&gt;=2.5",E121&lt;2.5,"NLR&lt;2.5")</f>
        <v>NLR&gt;=2.5</v>
      </c>
      <c r="H121" s="3" t="str" cm="1">
        <f t="array" ref="H121">_xlfn.IFS(F121&gt;=150,"PLR&gt;=150",F121&lt;150,"PLR&lt;150")</f>
        <v>PLR&gt;=150</v>
      </c>
      <c r="I121" s="1" t="s">
        <v>1</v>
      </c>
      <c r="J121" s="1">
        <v>2</v>
      </c>
      <c r="K121" s="3">
        <v>7560</v>
      </c>
      <c r="L121" s="3">
        <v>487000</v>
      </c>
      <c r="M121" s="3">
        <v>86.5</v>
      </c>
      <c r="N121" s="3">
        <v>8.3000000000000007</v>
      </c>
      <c r="O121" s="3">
        <f t="shared" si="6"/>
        <v>627.48</v>
      </c>
      <c r="P121" s="3">
        <f t="shared" si="7"/>
        <v>6539.4</v>
      </c>
    </row>
    <row r="122" spans="1:16" x14ac:dyDescent="0.25">
      <c r="A122" s="2">
        <v>121</v>
      </c>
      <c r="B122" s="2" t="s">
        <v>24</v>
      </c>
      <c r="C122" s="1">
        <v>53</v>
      </c>
      <c r="D122" s="6" t="s">
        <v>19</v>
      </c>
      <c r="E122" s="3">
        <f t="shared" si="4"/>
        <v>2.2031872509960158</v>
      </c>
      <c r="F122" s="3">
        <f t="shared" si="5"/>
        <v>164.19676940772476</v>
      </c>
      <c r="G122" s="3" t="str" cm="1">
        <f t="array" ref="G122">_xlfn.IFS(E122&gt;=2.5,"NLR&gt;=2.5",E122&lt;2.5,"NLR&lt;2.5")</f>
        <v>NLR&lt;2.5</v>
      </c>
      <c r="H122" s="3" t="str" cm="1">
        <f t="array" ref="H122">_xlfn.IFS(F122&gt;=150,"PLR&gt;=150",F122&lt;150,"PLR&lt;150")</f>
        <v>PLR&gt;=150</v>
      </c>
      <c r="I122" s="1" t="s">
        <v>1</v>
      </c>
      <c r="J122" s="1">
        <v>2</v>
      </c>
      <c r="K122" s="3">
        <v>4780</v>
      </c>
      <c r="L122" s="3">
        <v>197000</v>
      </c>
      <c r="M122" s="3">
        <v>55.3</v>
      </c>
      <c r="N122" s="3">
        <v>25.1</v>
      </c>
      <c r="O122" s="3">
        <f t="shared" si="6"/>
        <v>1199.78</v>
      </c>
      <c r="P122" s="3">
        <f t="shared" si="7"/>
        <v>2643.3399999999997</v>
      </c>
    </row>
    <row r="123" spans="1:16" x14ac:dyDescent="0.25">
      <c r="A123" s="2">
        <v>122</v>
      </c>
      <c r="B123" s="2" t="s">
        <v>24</v>
      </c>
      <c r="C123" s="1">
        <v>70</v>
      </c>
      <c r="D123" s="6" t="s">
        <v>21</v>
      </c>
      <c r="E123" s="3">
        <f t="shared" si="4"/>
        <v>6.0592592592592585</v>
      </c>
      <c r="F123" s="3">
        <f t="shared" si="5"/>
        <v>297.28725380899289</v>
      </c>
      <c r="G123" s="3" t="str" cm="1">
        <f t="array" ref="G123">_xlfn.IFS(E123&gt;=2.5,"NLR&gt;=2.5",E123&lt;2.5,"NLR&lt;2.5")</f>
        <v>NLR&gt;=2.5</v>
      </c>
      <c r="H123" s="3" t="str" cm="1">
        <f t="array" ref="H123">_xlfn.IFS(F123&gt;=150,"PLR&gt;=150",F123&lt;150,"PLR&lt;150")</f>
        <v>PLR&gt;=150</v>
      </c>
      <c r="I123" s="1" t="s">
        <v>1</v>
      </c>
      <c r="J123" s="1">
        <v>2</v>
      </c>
      <c r="K123" s="3">
        <v>5980</v>
      </c>
      <c r="L123" s="3">
        <v>240000</v>
      </c>
      <c r="M123" s="3">
        <v>81.8</v>
      </c>
      <c r="N123" s="3">
        <v>13.5</v>
      </c>
      <c r="O123" s="3">
        <f t="shared" si="6"/>
        <v>807.30000000000007</v>
      </c>
      <c r="P123" s="3">
        <f t="shared" si="7"/>
        <v>4891.6399999999994</v>
      </c>
    </row>
    <row r="124" spans="1:16" x14ac:dyDescent="0.25">
      <c r="A124" s="2">
        <v>123</v>
      </c>
      <c r="B124" s="2" t="s">
        <v>24</v>
      </c>
      <c r="C124" s="1">
        <v>68</v>
      </c>
      <c r="D124" s="6" t="s">
        <v>20</v>
      </c>
      <c r="E124" s="3">
        <f t="shared" si="4"/>
        <v>4.4640522875816995</v>
      </c>
      <c r="F124" s="3">
        <f t="shared" si="5"/>
        <v>399.80124603447621</v>
      </c>
      <c r="G124" s="3" t="str" cm="1">
        <f t="array" ref="G124">_xlfn.IFS(E124&gt;=2.5,"NLR&gt;=2.5",E124&lt;2.5,"NLR&lt;2.5")</f>
        <v>NLR&gt;=2.5</v>
      </c>
      <c r="H124" s="3" t="str" cm="1">
        <f t="array" ref="H124">_xlfn.IFS(F124&gt;=150,"PLR&gt;=150",F124&lt;150,"PLR&lt;150")</f>
        <v>PLR&gt;=150</v>
      </c>
      <c r="I124" s="1" t="s">
        <v>1</v>
      </c>
      <c r="J124" s="1">
        <v>2</v>
      </c>
      <c r="K124" s="3">
        <v>8550</v>
      </c>
      <c r="L124" s="3">
        <v>523000</v>
      </c>
      <c r="M124" s="3">
        <v>68.3</v>
      </c>
      <c r="N124" s="3">
        <v>15.3</v>
      </c>
      <c r="O124" s="3">
        <f t="shared" si="6"/>
        <v>1308.1499999999999</v>
      </c>
      <c r="P124" s="3">
        <f t="shared" si="7"/>
        <v>5839.65</v>
      </c>
    </row>
    <row r="125" spans="1:16" x14ac:dyDescent="0.25">
      <c r="A125" s="2">
        <v>124</v>
      </c>
      <c r="B125" s="2" t="s">
        <v>24</v>
      </c>
      <c r="C125" s="1">
        <v>76</v>
      </c>
      <c r="D125" s="6" t="s">
        <v>21</v>
      </c>
      <c r="E125" s="3">
        <f t="shared" si="4"/>
        <v>3.8421052631578947</v>
      </c>
      <c r="F125" s="3">
        <f t="shared" si="5"/>
        <v>176.26280466266337</v>
      </c>
      <c r="G125" s="3" t="str" cm="1">
        <f t="array" ref="G125">_xlfn.IFS(E125&gt;=2.5,"NLR&gt;=2.5",E125&lt;2.5,"NLR&lt;2.5")</f>
        <v>NLR&gt;=2.5</v>
      </c>
      <c r="H125" s="3" t="str" cm="1">
        <f t="array" ref="H125">_xlfn.IFS(F125&gt;=150,"PLR&gt;=150",F125&lt;150,"PLR&lt;150")</f>
        <v>PLR&gt;=150</v>
      </c>
      <c r="I125" s="1" t="s">
        <v>1</v>
      </c>
      <c r="J125" s="1">
        <v>2</v>
      </c>
      <c r="K125" s="3">
        <v>14900</v>
      </c>
      <c r="L125" s="3">
        <v>499000</v>
      </c>
      <c r="M125" s="3">
        <v>73</v>
      </c>
      <c r="N125" s="3">
        <v>19</v>
      </c>
      <c r="O125" s="3">
        <f t="shared" si="6"/>
        <v>2831</v>
      </c>
      <c r="P125" s="3">
        <f t="shared" si="7"/>
        <v>10877</v>
      </c>
    </row>
    <row r="126" spans="1:16" x14ac:dyDescent="0.25">
      <c r="A126" s="2">
        <v>125</v>
      </c>
      <c r="B126" s="1" t="s">
        <v>23</v>
      </c>
      <c r="C126" s="1">
        <v>72</v>
      </c>
      <c r="D126" s="6" t="s">
        <v>21</v>
      </c>
      <c r="E126" s="3">
        <f t="shared" si="4"/>
        <v>3.3732718894009213</v>
      </c>
      <c r="F126" s="3">
        <f t="shared" si="5"/>
        <v>165.72950577093815</v>
      </c>
      <c r="G126" s="3" t="str" cm="1">
        <f t="array" ref="G126">_xlfn.IFS(E126&gt;=2.5,"NLR&gt;=2.5",E126&lt;2.5,"NLR&lt;2.5")</f>
        <v>NLR&gt;=2.5</v>
      </c>
      <c r="H126" s="3" t="str" cm="1">
        <f t="array" ref="H126">_xlfn.IFS(F126&gt;=150,"PLR&gt;=150",F126&lt;150,"PLR&lt;150")</f>
        <v>PLR&gt;=150</v>
      </c>
      <c r="I126" s="1" t="s">
        <v>1</v>
      </c>
      <c r="J126" s="1">
        <v>2</v>
      </c>
      <c r="K126" s="3">
        <v>5450</v>
      </c>
      <c r="L126" s="3">
        <v>196000</v>
      </c>
      <c r="M126" s="3">
        <v>73.2</v>
      </c>
      <c r="N126" s="3">
        <v>21.7</v>
      </c>
      <c r="O126" s="3">
        <f t="shared" si="6"/>
        <v>1182.6500000000001</v>
      </c>
      <c r="P126" s="3">
        <f t="shared" si="7"/>
        <v>3989.4</v>
      </c>
    </row>
    <row r="127" spans="1:16" x14ac:dyDescent="0.25">
      <c r="A127" s="2">
        <v>126</v>
      </c>
      <c r="B127" s="2" t="s">
        <v>24</v>
      </c>
      <c r="C127" s="1">
        <v>46</v>
      </c>
      <c r="D127" s="6" t="s">
        <v>18</v>
      </c>
      <c r="E127" s="3">
        <f t="shared" si="4"/>
        <v>1.4685714285714289</v>
      </c>
      <c r="F127" s="3">
        <f t="shared" si="5"/>
        <v>82.758620689655189</v>
      </c>
      <c r="G127" s="3" t="str" cm="1">
        <f t="array" ref="G127">_xlfn.IFS(E127&gt;=2.5,"NLR&gt;=2.5",E127&lt;2.5,"NLR&lt;2.5")</f>
        <v>NLR&lt;2.5</v>
      </c>
      <c r="H127" s="3" t="str" cm="1">
        <f t="array" ref="H127">_xlfn.IFS(F127&gt;=150,"PLR&gt;=150",F127&lt;150,"PLR&lt;150")</f>
        <v>PLR&lt;150</v>
      </c>
      <c r="I127" s="1" t="s">
        <v>1</v>
      </c>
      <c r="J127" s="1">
        <v>2</v>
      </c>
      <c r="K127" s="3">
        <v>5800</v>
      </c>
      <c r="L127" s="3">
        <v>168000</v>
      </c>
      <c r="M127" s="3">
        <v>51.4</v>
      </c>
      <c r="N127" s="3">
        <v>35</v>
      </c>
      <c r="O127" s="3">
        <f t="shared" si="6"/>
        <v>2029.9999999999998</v>
      </c>
      <c r="P127" s="3">
        <f t="shared" si="7"/>
        <v>2981.2000000000003</v>
      </c>
    </row>
    <row r="128" spans="1:16" x14ac:dyDescent="0.25">
      <c r="A128" s="2">
        <v>127</v>
      </c>
      <c r="B128" s="2" t="s">
        <v>24</v>
      </c>
      <c r="C128" s="1">
        <v>79</v>
      </c>
      <c r="D128" s="6" t="s">
        <v>21</v>
      </c>
      <c r="E128" s="3">
        <f t="shared" si="4"/>
        <v>3.4064171122994655</v>
      </c>
      <c r="F128" s="3">
        <f t="shared" si="5"/>
        <v>103.42044193320554</v>
      </c>
      <c r="G128" s="3" t="str" cm="1">
        <f t="array" ref="G128">_xlfn.IFS(E128&gt;=2.5,"NLR&gt;=2.5",E128&lt;2.5,"NLR&lt;2.5")</f>
        <v>NLR&gt;=2.5</v>
      </c>
      <c r="H128" s="3" t="str" cm="1">
        <f t="array" ref="H128">_xlfn.IFS(F128&gt;=150,"PLR&gt;=150",F128&lt;150,"PLR&lt;150")</f>
        <v>PLR&lt;150</v>
      </c>
      <c r="I128" s="1" t="s">
        <v>1</v>
      </c>
      <c r="J128" s="1">
        <v>2</v>
      </c>
      <c r="K128" s="3">
        <v>6360</v>
      </c>
      <c r="L128" s="3">
        <v>123000</v>
      </c>
      <c r="M128" s="3">
        <v>63.7</v>
      </c>
      <c r="N128" s="3">
        <v>18.7</v>
      </c>
      <c r="O128" s="3">
        <f t="shared" si="6"/>
        <v>1189.32</v>
      </c>
      <c r="P128" s="3">
        <f t="shared" si="7"/>
        <v>4051.32</v>
      </c>
    </row>
    <row r="129" spans="1:16" x14ac:dyDescent="0.25">
      <c r="A129" s="2">
        <v>128</v>
      </c>
      <c r="B129" s="2" t="s">
        <v>24</v>
      </c>
      <c r="C129" s="1">
        <v>65</v>
      </c>
      <c r="D129" s="6" t="s">
        <v>20</v>
      </c>
      <c r="E129" s="3">
        <f t="shared" si="4"/>
        <v>3.5990099009900991</v>
      </c>
      <c r="F129" s="3">
        <f t="shared" si="5"/>
        <v>253.26543568408684</v>
      </c>
      <c r="G129" s="3" t="str" cm="1">
        <f t="array" ref="G129">_xlfn.IFS(E129&gt;=2.5,"NLR&gt;=2.5",E129&lt;2.5,"NLR&lt;2.5")</f>
        <v>NLR&gt;=2.5</v>
      </c>
      <c r="H129" s="3" t="str" cm="1">
        <f t="array" ref="H129">_xlfn.IFS(F129&gt;=150,"PLR&gt;=150",F129&lt;150,"PLR&lt;150")</f>
        <v>PLR&gt;=150</v>
      </c>
      <c r="I129" s="1" t="s">
        <v>1</v>
      </c>
      <c r="J129" s="1">
        <v>2</v>
      </c>
      <c r="K129" s="3">
        <v>7330</v>
      </c>
      <c r="L129" s="3">
        <v>375000</v>
      </c>
      <c r="M129" s="3">
        <v>72.7</v>
      </c>
      <c r="N129" s="3">
        <v>20.2</v>
      </c>
      <c r="O129" s="3">
        <f t="shared" si="6"/>
        <v>1480.6599999999999</v>
      </c>
      <c r="P129" s="3">
        <f t="shared" si="7"/>
        <v>5328.91</v>
      </c>
    </row>
    <row r="130" spans="1:16" x14ac:dyDescent="0.25">
      <c r="A130" s="2">
        <v>129</v>
      </c>
      <c r="B130" s="2" t="s">
        <v>24</v>
      </c>
      <c r="C130" s="1">
        <v>65</v>
      </c>
      <c r="D130" s="6" t="s">
        <v>20</v>
      </c>
      <c r="E130" s="3">
        <f t="shared" si="4"/>
        <v>1.7596153846153844</v>
      </c>
      <c r="F130" s="3">
        <f t="shared" si="5"/>
        <v>99.544937428896475</v>
      </c>
      <c r="G130" s="3" t="str" cm="1">
        <f t="array" ref="G130">_xlfn.IFS(E130&gt;=2.5,"NLR&gt;=2.5",E130&lt;2.5,"NLR&lt;2.5")</f>
        <v>NLR&lt;2.5</v>
      </c>
      <c r="H130" s="3" t="str" cm="1">
        <f t="array" ref="H130">_xlfn.IFS(F130&gt;=150,"PLR&gt;=150",F130&lt;150,"PLR&lt;150")</f>
        <v>PLR&lt;150</v>
      </c>
      <c r="I130" s="1" t="s">
        <v>1</v>
      </c>
      <c r="J130" s="1">
        <v>2</v>
      </c>
      <c r="K130" s="3">
        <v>8790</v>
      </c>
      <c r="L130" s="3">
        <v>273000</v>
      </c>
      <c r="M130" s="3">
        <v>54.9</v>
      </c>
      <c r="N130" s="3">
        <v>31.2</v>
      </c>
      <c r="O130" s="3">
        <f t="shared" si="6"/>
        <v>2742.48</v>
      </c>
      <c r="P130" s="3">
        <f t="shared" si="7"/>
        <v>4825.7099999999991</v>
      </c>
    </row>
    <row r="131" spans="1:16" x14ac:dyDescent="0.25">
      <c r="A131" s="2">
        <v>130</v>
      </c>
      <c r="B131" s="1" t="s">
        <v>23</v>
      </c>
      <c r="C131" s="1">
        <v>46</v>
      </c>
      <c r="D131" s="6" t="s">
        <v>18</v>
      </c>
      <c r="E131" s="3">
        <f t="shared" ref="E131:E173" si="8">P131/O131</f>
        <v>4.5370370370370372</v>
      </c>
      <c r="F131" s="3">
        <f t="shared" ref="F131:F173" si="9">L131/O131</f>
        <v>253.88945669278567</v>
      </c>
      <c r="G131" s="3" t="str" cm="1">
        <f t="array" ref="G131">_xlfn.IFS(E131&gt;=2.5,"NLR&gt;=2.5",E131&lt;2.5,"NLR&lt;2.5")</f>
        <v>NLR&gt;=2.5</v>
      </c>
      <c r="H131" s="3" t="str" cm="1">
        <f t="array" ref="H131">_xlfn.IFS(F131&gt;=150,"PLR&gt;=150",F131&lt;150,"PLR&lt;150")</f>
        <v>PLR&gt;=150</v>
      </c>
      <c r="I131" s="1" t="s">
        <v>1</v>
      </c>
      <c r="J131" s="1">
        <v>2</v>
      </c>
      <c r="K131" s="3">
        <v>7610</v>
      </c>
      <c r="L131" s="3">
        <v>313000</v>
      </c>
      <c r="M131" s="3">
        <v>73.5</v>
      </c>
      <c r="N131" s="3">
        <v>16.2</v>
      </c>
      <c r="O131" s="3">
        <f t="shared" ref="O131:O173" si="10">K131*(N131/100)</f>
        <v>1232.82</v>
      </c>
      <c r="P131" s="3">
        <f t="shared" ref="P131:P173" si="11">K131*(M131/100)</f>
        <v>5593.3499999999995</v>
      </c>
    </row>
    <row r="132" spans="1:16" x14ac:dyDescent="0.25">
      <c r="A132" s="2">
        <v>131</v>
      </c>
      <c r="B132" s="1" t="s">
        <v>23</v>
      </c>
      <c r="C132" s="1">
        <v>64</v>
      </c>
      <c r="D132" s="6" t="s">
        <v>20</v>
      </c>
      <c r="E132" s="3">
        <f t="shared" si="8"/>
        <v>1.3228346456692912</v>
      </c>
      <c r="F132" s="3">
        <f t="shared" si="9"/>
        <v>105.05531658607863</v>
      </c>
      <c r="G132" s="3" t="str" cm="1">
        <f t="array" ref="G132">_xlfn.IFS(E132&gt;=2.5,"NLR&gt;=2.5",E132&lt;2.5,"NLR&lt;2.5")</f>
        <v>NLR&lt;2.5</v>
      </c>
      <c r="H132" s="3" t="str" cm="1">
        <f t="array" ref="H132">_xlfn.IFS(F132&gt;=150,"PLR&gt;=150",F132&lt;150,"PLR&lt;150")</f>
        <v>PLR&lt;150</v>
      </c>
      <c r="I132" s="1" t="s">
        <v>1</v>
      </c>
      <c r="J132" s="1">
        <v>2</v>
      </c>
      <c r="K132" s="3">
        <v>7670</v>
      </c>
      <c r="L132" s="3">
        <v>307000</v>
      </c>
      <c r="M132" s="3">
        <v>50.4</v>
      </c>
      <c r="N132" s="3">
        <v>38.1</v>
      </c>
      <c r="O132" s="3">
        <f t="shared" si="10"/>
        <v>2922.27</v>
      </c>
      <c r="P132" s="3">
        <f t="shared" si="11"/>
        <v>3865.68</v>
      </c>
    </row>
    <row r="133" spans="1:16" x14ac:dyDescent="0.25">
      <c r="A133" s="2">
        <v>132</v>
      </c>
      <c r="B133" s="2" t="s">
        <v>24</v>
      </c>
      <c r="C133" s="1">
        <v>81</v>
      </c>
      <c r="D133" s="6" t="s">
        <v>22</v>
      </c>
      <c r="E133" s="3">
        <f t="shared" si="8"/>
        <v>4.3101265822784809</v>
      </c>
      <c r="F133" s="3">
        <f t="shared" si="9"/>
        <v>163.58325219084713</v>
      </c>
      <c r="G133" s="3" t="str" cm="1">
        <f t="array" ref="G133">_xlfn.IFS(E133&gt;=2.5,"NLR&gt;=2.5",E133&lt;2.5,"NLR&lt;2.5")</f>
        <v>NLR&gt;=2.5</v>
      </c>
      <c r="H133" s="3" t="str" cm="1">
        <f t="array" ref="H133">_xlfn.IFS(F133&gt;=150,"PLR&gt;=150",F133&lt;150,"PLR&lt;150")</f>
        <v>PLR&gt;=150</v>
      </c>
      <c r="I133" s="1" t="s">
        <v>1</v>
      </c>
      <c r="J133" s="1">
        <v>2</v>
      </c>
      <c r="K133" s="3">
        <v>6500</v>
      </c>
      <c r="L133" s="3">
        <v>168000</v>
      </c>
      <c r="M133" s="3">
        <v>68.099999999999994</v>
      </c>
      <c r="N133" s="3">
        <v>15.8</v>
      </c>
      <c r="O133" s="3">
        <f t="shared" si="10"/>
        <v>1027</v>
      </c>
      <c r="P133" s="3">
        <f t="shared" si="11"/>
        <v>4426.5</v>
      </c>
    </row>
    <row r="134" spans="1:16" x14ac:dyDescent="0.25">
      <c r="A134" s="2">
        <v>133</v>
      </c>
      <c r="B134" s="2" t="s">
        <v>24</v>
      </c>
      <c r="C134" s="1">
        <v>72</v>
      </c>
      <c r="D134" s="6" t="s">
        <v>21</v>
      </c>
      <c r="E134" s="3">
        <f t="shared" si="8"/>
        <v>4.6790123456790118</v>
      </c>
      <c r="F134" s="3">
        <f t="shared" si="9"/>
        <v>213.79613909325283</v>
      </c>
      <c r="G134" s="3" t="str" cm="1">
        <f t="array" ref="G134">_xlfn.IFS(E134&gt;=2.5,"NLR&gt;=2.5",E134&lt;2.5,"NLR&lt;2.5")</f>
        <v>NLR&gt;=2.5</v>
      </c>
      <c r="H134" s="3" t="str" cm="1">
        <f t="array" ref="H134">_xlfn.IFS(F134&gt;=150,"PLR&gt;=150",F134&lt;150,"PLR&lt;150")</f>
        <v>PLR&gt;=150</v>
      </c>
      <c r="I134" s="1" t="s">
        <v>1</v>
      </c>
      <c r="J134" s="1">
        <v>2</v>
      </c>
      <c r="K134" s="3">
        <v>11780</v>
      </c>
      <c r="L134" s="3">
        <v>408000</v>
      </c>
      <c r="M134" s="3">
        <v>75.8</v>
      </c>
      <c r="N134" s="3">
        <v>16.2</v>
      </c>
      <c r="O134" s="3">
        <f t="shared" si="10"/>
        <v>1908.3600000000001</v>
      </c>
      <c r="P134" s="3">
        <f t="shared" si="11"/>
        <v>8929.24</v>
      </c>
    </row>
    <row r="135" spans="1:16" x14ac:dyDescent="0.25">
      <c r="A135" s="2">
        <v>134</v>
      </c>
      <c r="B135" s="1" t="s">
        <v>23</v>
      </c>
      <c r="C135" s="1">
        <v>70</v>
      </c>
      <c r="D135" s="6" t="s">
        <v>21</v>
      </c>
      <c r="E135" s="3">
        <f t="shared" si="8"/>
        <v>0.9792099792099791</v>
      </c>
      <c r="F135" s="3">
        <f t="shared" si="9"/>
        <v>62.945564675668479</v>
      </c>
      <c r="G135" s="3" t="str" cm="1">
        <f t="array" ref="G135">_xlfn.IFS(E135&gt;=2.5,"NLR&gt;=2.5",E135&lt;2.5,"NLR&lt;2.5")</f>
        <v>NLR&lt;2.5</v>
      </c>
      <c r="H135" s="3" t="str" cm="1">
        <f t="array" ref="H135">_xlfn.IFS(F135&gt;=150,"PLR&gt;=150",F135&lt;150,"PLR&lt;150")</f>
        <v>PLR&lt;150</v>
      </c>
      <c r="I135" s="1" t="s">
        <v>1</v>
      </c>
      <c r="J135" s="1">
        <v>2</v>
      </c>
      <c r="K135" s="3">
        <v>5780</v>
      </c>
      <c r="L135" s="3">
        <v>175000</v>
      </c>
      <c r="M135" s="3">
        <v>47.1</v>
      </c>
      <c r="N135" s="3">
        <v>48.1</v>
      </c>
      <c r="O135" s="3">
        <f t="shared" si="10"/>
        <v>2780.1800000000003</v>
      </c>
      <c r="P135" s="3">
        <f t="shared" si="11"/>
        <v>2722.38</v>
      </c>
    </row>
    <row r="136" spans="1:16" x14ac:dyDescent="0.25">
      <c r="A136" s="2">
        <v>135</v>
      </c>
      <c r="B136" s="2" t="s">
        <v>24</v>
      </c>
      <c r="C136" s="1">
        <v>69</v>
      </c>
      <c r="D136" s="6" t="s">
        <v>20</v>
      </c>
      <c r="E136" s="3">
        <f t="shared" si="8"/>
        <v>2.0830670926517576</v>
      </c>
      <c r="F136" s="3">
        <f t="shared" si="9"/>
        <v>86.214832094369328</v>
      </c>
      <c r="G136" s="3" t="str" cm="1">
        <f t="array" ref="G136">_xlfn.IFS(E136&gt;=2.5,"NLR&gt;=2.5",E136&lt;2.5,"NLR&lt;2.5")</f>
        <v>NLR&lt;2.5</v>
      </c>
      <c r="H136" s="3" t="str" cm="1">
        <f t="array" ref="H136">_xlfn.IFS(F136&gt;=150,"PLR&gt;=150",F136&lt;150,"PLR&lt;150")</f>
        <v>PLR&lt;150</v>
      </c>
      <c r="I136" s="1" t="s">
        <v>1</v>
      </c>
      <c r="J136" s="1">
        <v>2</v>
      </c>
      <c r="K136" s="3">
        <v>14230</v>
      </c>
      <c r="L136" s="3">
        <v>384000</v>
      </c>
      <c r="M136" s="3">
        <v>65.2</v>
      </c>
      <c r="N136" s="3">
        <v>31.3</v>
      </c>
      <c r="O136" s="3">
        <f t="shared" si="10"/>
        <v>4453.99</v>
      </c>
      <c r="P136" s="3">
        <f t="shared" si="11"/>
        <v>9277.9600000000009</v>
      </c>
    </row>
    <row r="137" spans="1:16" x14ac:dyDescent="0.25">
      <c r="A137" s="2">
        <v>136</v>
      </c>
      <c r="B137" s="2" t="s">
        <v>24</v>
      </c>
      <c r="C137" s="1">
        <v>72</v>
      </c>
      <c r="D137" s="6" t="s">
        <v>21</v>
      </c>
      <c r="E137" s="3">
        <f t="shared" si="8"/>
        <v>13.81967213114754</v>
      </c>
      <c r="F137" s="3">
        <f t="shared" si="9"/>
        <v>334.71530181430904</v>
      </c>
      <c r="G137" s="3" t="str" cm="1">
        <f t="array" ref="G137">_xlfn.IFS(E137&gt;=2.5,"NLR&gt;=2.5",E137&lt;2.5,"NLR&lt;2.5")</f>
        <v>NLR&gt;=2.5</v>
      </c>
      <c r="H137" s="3" t="str" cm="1">
        <f t="array" ref="H137">_xlfn.IFS(F137&gt;=150,"PLR&gt;=150",F137&lt;150,"PLR&lt;150")</f>
        <v>PLR&gt;=150</v>
      </c>
      <c r="I137" s="1" t="s">
        <v>1</v>
      </c>
      <c r="J137" s="1">
        <v>2</v>
      </c>
      <c r="K137" s="3">
        <v>12930</v>
      </c>
      <c r="L137" s="3">
        <v>264000</v>
      </c>
      <c r="M137" s="3">
        <v>84.3</v>
      </c>
      <c r="N137" s="3">
        <v>6.1</v>
      </c>
      <c r="O137" s="3">
        <f t="shared" si="10"/>
        <v>788.73</v>
      </c>
      <c r="P137" s="3">
        <f t="shared" si="11"/>
        <v>10899.99</v>
      </c>
    </row>
    <row r="138" spans="1:16" x14ac:dyDescent="0.25">
      <c r="A138" s="2">
        <v>137</v>
      </c>
      <c r="B138" s="1" t="s">
        <v>23</v>
      </c>
      <c r="C138" s="1">
        <v>60</v>
      </c>
      <c r="D138" s="6" t="s">
        <v>20</v>
      </c>
      <c r="E138" s="3">
        <f t="shared" si="8"/>
        <v>1.3947368421052631</v>
      </c>
      <c r="F138" s="3">
        <f t="shared" si="9"/>
        <v>113.21909424724602</v>
      </c>
      <c r="G138" s="3" t="str" cm="1">
        <f t="array" ref="G138">_xlfn.IFS(E138&gt;=2.5,"NLR&gt;=2.5",E138&lt;2.5,"NLR&lt;2.5")</f>
        <v>NLR&lt;2.5</v>
      </c>
      <c r="H138" s="3" t="str" cm="1">
        <f t="array" ref="H138">_xlfn.IFS(F138&gt;=150,"PLR&gt;=150",F138&lt;150,"PLR&lt;150")</f>
        <v>PLR&lt;150</v>
      </c>
      <c r="I138" s="1" t="s">
        <v>1</v>
      </c>
      <c r="J138" s="1">
        <v>2</v>
      </c>
      <c r="K138" s="3">
        <v>3440</v>
      </c>
      <c r="L138" s="3">
        <v>148000</v>
      </c>
      <c r="M138" s="3">
        <v>53</v>
      </c>
      <c r="N138" s="3">
        <v>38</v>
      </c>
      <c r="O138" s="3">
        <f t="shared" si="10"/>
        <v>1307.2</v>
      </c>
      <c r="P138" s="3">
        <f t="shared" si="11"/>
        <v>1823.2</v>
      </c>
    </row>
    <row r="139" spans="1:16" x14ac:dyDescent="0.25">
      <c r="A139" s="2">
        <v>138</v>
      </c>
      <c r="B139" s="1" t="s">
        <v>23</v>
      </c>
      <c r="C139" s="1">
        <v>55</v>
      </c>
      <c r="D139" s="6" t="s">
        <v>19</v>
      </c>
      <c r="E139" s="3">
        <f t="shared" si="8"/>
        <v>1.4344023323615163</v>
      </c>
      <c r="F139" s="3">
        <f t="shared" si="9"/>
        <v>237.80414074780671</v>
      </c>
      <c r="G139" s="3" t="str" cm="1">
        <f t="array" ref="G139">_xlfn.IFS(E139&gt;=2.5,"NLR&gt;=2.5",E139&lt;2.5,"NLR&lt;2.5")</f>
        <v>NLR&lt;2.5</v>
      </c>
      <c r="H139" s="3" t="str" cm="1">
        <f t="array" ref="H139">_xlfn.IFS(F139&gt;=150,"PLR&gt;=150",F139&lt;150,"PLR&lt;150")</f>
        <v>PLR&gt;=150</v>
      </c>
      <c r="I139" s="1" t="s">
        <v>1</v>
      </c>
      <c r="J139" s="1">
        <v>2</v>
      </c>
      <c r="K139" s="3">
        <v>4340</v>
      </c>
      <c r="L139" s="3">
        <v>354000</v>
      </c>
      <c r="M139" s="3">
        <v>49.2</v>
      </c>
      <c r="N139" s="3">
        <v>34.299999999999997</v>
      </c>
      <c r="O139" s="3">
        <f t="shared" si="10"/>
        <v>1488.62</v>
      </c>
      <c r="P139" s="3">
        <f t="shared" si="11"/>
        <v>2135.2800000000002</v>
      </c>
    </row>
    <row r="140" spans="1:16" x14ac:dyDescent="0.25">
      <c r="A140" s="2">
        <v>139</v>
      </c>
      <c r="B140" s="2" t="s">
        <v>24</v>
      </c>
      <c r="C140" s="1">
        <v>73</v>
      </c>
      <c r="D140" s="6" t="s">
        <v>21</v>
      </c>
      <c r="E140" s="3">
        <f t="shared" si="8"/>
        <v>1.3890577507598787</v>
      </c>
      <c r="F140" s="3">
        <f t="shared" si="9"/>
        <v>170.14668957314657</v>
      </c>
      <c r="G140" s="3" t="str" cm="1">
        <f t="array" ref="G140">_xlfn.IFS(E140&gt;=2.5,"NLR&gt;=2.5",E140&lt;2.5,"NLR&lt;2.5")</f>
        <v>NLR&lt;2.5</v>
      </c>
      <c r="H140" s="3" t="str" cm="1">
        <f t="array" ref="H140">_xlfn.IFS(F140&gt;=150,"PLR&gt;=150",F140&lt;150,"PLR&lt;150")</f>
        <v>PLR&gt;=150</v>
      </c>
      <c r="I140" s="1" t="s">
        <v>1</v>
      </c>
      <c r="J140" s="1">
        <v>2</v>
      </c>
      <c r="K140" s="3">
        <v>3680</v>
      </c>
      <c r="L140" s="3">
        <v>206000</v>
      </c>
      <c r="M140" s="3">
        <v>45.7</v>
      </c>
      <c r="N140" s="3">
        <v>32.9</v>
      </c>
      <c r="O140" s="3">
        <f t="shared" si="10"/>
        <v>1210.7199999999998</v>
      </c>
      <c r="P140" s="3">
        <f t="shared" si="11"/>
        <v>1681.76</v>
      </c>
    </row>
    <row r="141" spans="1:16" x14ac:dyDescent="0.25">
      <c r="A141" s="2">
        <v>140</v>
      </c>
      <c r="B141" s="1" t="s">
        <v>23</v>
      </c>
      <c r="C141" s="1">
        <v>71</v>
      </c>
      <c r="D141" s="6" t="s">
        <v>21</v>
      </c>
      <c r="E141" s="3">
        <f t="shared" si="8"/>
        <v>3.1387559808612435</v>
      </c>
      <c r="F141" s="3">
        <f t="shared" si="9"/>
        <v>141.73955943272853</v>
      </c>
      <c r="G141" s="3" t="str" cm="1">
        <f t="array" ref="G141">_xlfn.IFS(E141&gt;=2.5,"NLR&gt;=2.5",E141&lt;2.5,"NLR&lt;2.5")</f>
        <v>NLR&gt;=2.5</v>
      </c>
      <c r="H141" s="3" t="str" cm="1">
        <f t="array" ref="H141">_xlfn.IFS(F141&gt;=150,"PLR&gt;=150",F141&lt;150,"PLR&lt;150")</f>
        <v>PLR&lt;150</v>
      </c>
      <c r="I141" s="1" t="s">
        <v>1</v>
      </c>
      <c r="J141" s="1">
        <v>2</v>
      </c>
      <c r="K141" s="3">
        <v>6110</v>
      </c>
      <c r="L141" s="3">
        <v>181000</v>
      </c>
      <c r="M141" s="3">
        <v>65.599999999999994</v>
      </c>
      <c r="N141" s="3">
        <v>20.9</v>
      </c>
      <c r="O141" s="3">
        <f t="shared" si="10"/>
        <v>1276.99</v>
      </c>
      <c r="P141" s="3">
        <f t="shared" si="11"/>
        <v>4008.1599999999994</v>
      </c>
    </row>
    <row r="142" spans="1:16" x14ac:dyDescent="0.25">
      <c r="A142" s="2">
        <v>141</v>
      </c>
      <c r="B142" s="1" t="s">
        <v>23</v>
      </c>
      <c r="C142" s="1">
        <v>75</v>
      </c>
      <c r="D142" s="6" t="s">
        <v>21</v>
      </c>
      <c r="E142" s="3">
        <f t="shared" si="8"/>
        <v>2.95</v>
      </c>
      <c r="F142" s="3">
        <f t="shared" si="9"/>
        <v>220.89314194577352</v>
      </c>
      <c r="G142" s="3" t="str" cm="1">
        <f t="array" ref="G142">_xlfn.IFS(E142&gt;=2.5,"NLR&gt;=2.5",E142&lt;2.5,"NLR&lt;2.5")</f>
        <v>NLR&gt;=2.5</v>
      </c>
      <c r="H142" s="3" t="str" cm="1">
        <f t="array" ref="H142">_xlfn.IFS(F142&gt;=150,"PLR&gt;=150",F142&lt;150,"PLR&lt;150")</f>
        <v>PLR&gt;=150</v>
      </c>
      <c r="I142" s="1" t="s">
        <v>1</v>
      </c>
      <c r="J142" s="1">
        <v>2</v>
      </c>
      <c r="K142" s="3">
        <v>5700</v>
      </c>
      <c r="L142" s="3">
        <v>277000</v>
      </c>
      <c r="M142" s="3">
        <v>64.900000000000006</v>
      </c>
      <c r="N142" s="3">
        <v>22</v>
      </c>
      <c r="O142" s="3">
        <f t="shared" si="10"/>
        <v>1254</v>
      </c>
      <c r="P142" s="3">
        <f t="shared" si="11"/>
        <v>3699.3</v>
      </c>
    </row>
    <row r="143" spans="1:16" x14ac:dyDescent="0.25">
      <c r="A143" s="2">
        <v>142</v>
      </c>
      <c r="B143" s="1" t="s">
        <v>23</v>
      </c>
      <c r="C143" s="1">
        <v>78</v>
      </c>
      <c r="D143" s="6" t="s">
        <v>21</v>
      </c>
      <c r="E143" s="3">
        <f t="shared" si="8"/>
        <v>2.9769585253456219</v>
      </c>
      <c r="F143" s="3">
        <f t="shared" si="9"/>
        <v>225.44726444582005</v>
      </c>
      <c r="G143" s="3" t="str" cm="1">
        <f t="array" ref="G143">_xlfn.IFS(E143&gt;=2.5,"NLR&gt;=2.5",E143&lt;2.5,"NLR&lt;2.5")</f>
        <v>NLR&gt;=2.5</v>
      </c>
      <c r="H143" s="3" t="str" cm="1">
        <f t="array" ref="H143">_xlfn.IFS(F143&gt;=150,"PLR&gt;=150",F143&lt;150,"PLR&lt;150")</f>
        <v>PLR&gt;=150</v>
      </c>
      <c r="I143" s="1" t="s">
        <v>1</v>
      </c>
      <c r="J143" s="1">
        <v>2</v>
      </c>
      <c r="K143" s="3">
        <v>6030</v>
      </c>
      <c r="L143" s="3">
        <v>295000</v>
      </c>
      <c r="M143" s="3">
        <v>64.599999999999994</v>
      </c>
      <c r="N143" s="3">
        <v>21.7</v>
      </c>
      <c r="O143" s="3">
        <f t="shared" si="10"/>
        <v>1308.51</v>
      </c>
      <c r="P143" s="3">
        <f t="shared" si="11"/>
        <v>3895.3799999999997</v>
      </c>
    </row>
    <row r="144" spans="1:16" x14ac:dyDescent="0.25">
      <c r="A144" s="2">
        <v>143</v>
      </c>
      <c r="B144" s="2" t="s">
        <v>24</v>
      </c>
      <c r="C144" s="1">
        <v>65</v>
      </c>
      <c r="D144" s="6" t="s">
        <v>20</v>
      </c>
      <c r="E144" s="3">
        <f t="shared" si="8"/>
        <v>8.0291262135922334</v>
      </c>
      <c r="F144" s="3">
        <f t="shared" si="9"/>
        <v>241.28224277589476</v>
      </c>
      <c r="G144" s="3" t="str" cm="1">
        <f t="array" ref="G144">_xlfn.IFS(E144&gt;=2.5,"NLR&gt;=2.5",E144&lt;2.5,"NLR&lt;2.5")</f>
        <v>NLR&gt;=2.5</v>
      </c>
      <c r="H144" s="3" t="str" cm="1">
        <f t="array" ref="H144">_xlfn.IFS(F144&gt;=150,"PLR&gt;=150",F144&lt;150,"PLR&lt;150")</f>
        <v>PLR&gt;=150</v>
      </c>
      <c r="I144" s="1" t="s">
        <v>1</v>
      </c>
      <c r="J144" s="1">
        <v>2</v>
      </c>
      <c r="K144" s="3">
        <v>11830</v>
      </c>
      <c r="L144" s="3">
        <v>294000</v>
      </c>
      <c r="M144" s="3">
        <v>82.7</v>
      </c>
      <c r="N144" s="3">
        <v>10.3</v>
      </c>
      <c r="O144" s="3">
        <f t="shared" si="10"/>
        <v>1218.49</v>
      </c>
      <c r="P144" s="3">
        <f t="shared" si="11"/>
        <v>9783.4100000000017</v>
      </c>
    </row>
    <row r="145" spans="1:16" x14ac:dyDescent="0.25">
      <c r="A145" s="2">
        <v>144</v>
      </c>
      <c r="B145" s="2" t="s">
        <v>24</v>
      </c>
      <c r="C145" s="1">
        <v>69</v>
      </c>
      <c r="D145" s="6" t="s">
        <v>20</v>
      </c>
      <c r="E145" s="3">
        <f t="shared" si="8"/>
        <v>8.2330097087378622</v>
      </c>
      <c r="F145" s="3">
        <f t="shared" si="9"/>
        <v>84.50925671160725</v>
      </c>
      <c r="G145" s="3" t="str" cm="1">
        <f t="array" ref="G145">_xlfn.IFS(E145&gt;=2.5,"NLR&gt;=2.5",E145&lt;2.5,"NLR&lt;2.5")</f>
        <v>NLR&gt;=2.5</v>
      </c>
      <c r="H145" s="3" t="str" cm="1">
        <f t="array" ref="H145">_xlfn.IFS(F145&gt;=150,"PLR&gt;=150",F145&lt;150,"PLR&lt;150")</f>
        <v>PLR&lt;150</v>
      </c>
      <c r="I145" s="1" t="s">
        <v>1</v>
      </c>
      <c r="J145" s="1">
        <v>2</v>
      </c>
      <c r="K145" s="3">
        <v>14820</v>
      </c>
      <c r="L145" s="3">
        <v>129000</v>
      </c>
      <c r="M145" s="3">
        <v>84.8</v>
      </c>
      <c r="N145" s="3">
        <v>10.3</v>
      </c>
      <c r="O145" s="3">
        <f t="shared" si="10"/>
        <v>1526.46</v>
      </c>
      <c r="P145" s="3">
        <f t="shared" si="11"/>
        <v>12567.359999999999</v>
      </c>
    </row>
    <row r="146" spans="1:16" x14ac:dyDescent="0.25">
      <c r="A146" s="2">
        <v>145</v>
      </c>
      <c r="B146" s="2" t="s">
        <v>24</v>
      </c>
      <c r="C146" s="1">
        <v>68</v>
      </c>
      <c r="D146" s="6" t="s">
        <v>20</v>
      </c>
      <c r="E146" s="3">
        <f t="shared" si="8"/>
        <v>4.9444444444444446</v>
      </c>
      <c r="F146" s="3">
        <f t="shared" si="9"/>
        <v>231.92493259543065</v>
      </c>
      <c r="G146" s="3" t="str" cm="1">
        <f t="array" ref="G146">_xlfn.IFS(E146&gt;=2.5,"NLR&gt;=2.5",E146&lt;2.5,"NLR&lt;2.5")</f>
        <v>NLR&gt;=2.5</v>
      </c>
      <c r="H146" s="3" t="str" cm="1">
        <f t="array" ref="H146">_xlfn.IFS(F146&gt;=150,"PLR&gt;=150",F146&lt;150,"PLR&lt;150")</f>
        <v>PLR&gt;=150</v>
      </c>
      <c r="I146" s="1" t="s">
        <v>1</v>
      </c>
      <c r="J146" s="1">
        <v>2</v>
      </c>
      <c r="K146" s="3">
        <v>15660</v>
      </c>
      <c r="L146" s="3">
        <v>523000</v>
      </c>
      <c r="M146" s="3">
        <v>71.2</v>
      </c>
      <c r="N146" s="3">
        <v>14.4</v>
      </c>
      <c r="O146" s="3">
        <f t="shared" si="10"/>
        <v>2255.0400000000004</v>
      </c>
      <c r="P146" s="3">
        <f t="shared" si="11"/>
        <v>11149.920000000002</v>
      </c>
    </row>
    <row r="147" spans="1:16" x14ac:dyDescent="0.25">
      <c r="A147" s="2">
        <v>146</v>
      </c>
      <c r="B147" s="2" t="s">
        <v>24</v>
      </c>
      <c r="C147" s="1">
        <v>76</v>
      </c>
      <c r="D147" s="6" t="s">
        <v>21</v>
      </c>
      <c r="E147" s="3">
        <f t="shared" si="8"/>
        <v>2.4032258064516125</v>
      </c>
      <c r="F147" s="3">
        <f t="shared" si="9"/>
        <v>156.8100358422939</v>
      </c>
      <c r="G147" s="3" t="str" cm="1">
        <f t="array" ref="G147">_xlfn.IFS(E147&gt;=2.5,"NLR&gt;=2.5",E147&lt;2.5,"NLR&lt;2.5")</f>
        <v>NLR&lt;2.5</v>
      </c>
      <c r="H147" s="3" t="str" cm="1">
        <f t="array" ref="H147">_xlfn.IFS(F147&gt;=150,"PLR&gt;=150",F147&lt;150,"PLR&lt;150")</f>
        <v>PLR&gt;=150</v>
      </c>
      <c r="I147" s="1" t="s">
        <v>1</v>
      </c>
      <c r="J147" s="1">
        <v>2</v>
      </c>
      <c r="K147" s="3">
        <v>5400</v>
      </c>
      <c r="L147" s="3">
        <v>210000</v>
      </c>
      <c r="M147" s="3">
        <v>59.6</v>
      </c>
      <c r="N147" s="3">
        <v>24.8</v>
      </c>
      <c r="O147" s="3">
        <f t="shared" si="10"/>
        <v>1339.2</v>
      </c>
      <c r="P147" s="3">
        <f t="shared" si="11"/>
        <v>3218.3999999999996</v>
      </c>
    </row>
    <row r="148" spans="1:16" x14ac:dyDescent="0.25">
      <c r="A148" s="2">
        <v>147</v>
      </c>
      <c r="B148" s="2" t="s">
        <v>24</v>
      </c>
      <c r="C148" s="1">
        <v>54</v>
      </c>
      <c r="D148" s="6" t="s">
        <v>19</v>
      </c>
      <c r="E148" s="3">
        <f t="shared" si="8"/>
        <v>1.6987577639751554</v>
      </c>
      <c r="F148" s="3">
        <f t="shared" si="9"/>
        <v>185.17146878009035</v>
      </c>
      <c r="G148" s="3" t="str" cm="1">
        <f t="array" ref="G148">_xlfn.IFS(E148&gt;=2.5,"NLR&gt;=2.5",E148&lt;2.5,"NLR&lt;2.5")</f>
        <v>NLR&lt;2.5</v>
      </c>
      <c r="H148" s="3" t="str" cm="1">
        <f t="array" ref="H148">_xlfn.IFS(F148&gt;=150,"PLR&gt;=150",F148&lt;150,"PLR&lt;150")</f>
        <v>PLR&gt;=150</v>
      </c>
      <c r="I148" s="1" t="s">
        <v>1</v>
      </c>
      <c r="J148" s="1">
        <v>2</v>
      </c>
      <c r="K148" s="3">
        <v>5870</v>
      </c>
      <c r="L148" s="3">
        <v>350000</v>
      </c>
      <c r="M148" s="3">
        <v>54.7</v>
      </c>
      <c r="N148" s="3">
        <v>32.200000000000003</v>
      </c>
      <c r="O148" s="3">
        <f t="shared" si="10"/>
        <v>1890.14</v>
      </c>
      <c r="P148" s="3">
        <f t="shared" si="11"/>
        <v>3210.8900000000003</v>
      </c>
    </row>
    <row r="149" spans="1:16" x14ac:dyDescent="0.25">
      <c r="A149" s="2">
        <v>148</v>
      </c>
      <c r="B149" s="2" t="s">
        <v>24</v>
      </c>
      <c r="C149" s="1">
        <v>61</v>
      </c>
      <c r="D149" s="6" t="s">
        <v>20</v>
      </c>
      <c r="E149" s="3">
        <f t="shared" si="8"/>
        <v>18.306122448979593</v>
      </c>
      <c r="F149" s="3">
        <f t="shared" si="9"/>
        <v>270.53526036749219</v>
      </c>
      <c r="G149" s="3" t="str" cm="1">
        <f t="array" ref="G149">_xlfn.IFS(E149&gt;=2.5,"NLR&gt;=2.5",E149&lt;2.5,"NLR&lt;2.5")</f>
        <v>NLR&gt;=2.5</v>
      </c>
      <c r="H149" s="3" t="str" cm="1">
        <f t="array" ref="H149">_xlfn.IFS(F149&gt;=150,"PLR&gt;=150",F149&lt;150,"PLR&lt;150")</f>
        <v>PLR&gt;=150</v>
      </c>
      <c r="I149" s="1" t="s">
        <v>1</v>
      </c>
      <c r="J149" s="1">
        <v>2</v>
      </c>
      <c r="K149" s="3">
        <v>22480</v>
      </c>
      <c r="L149" s="3">
        <v>298000</v>
      </c>
      <c r="M149" s="3">
        <v>89.7</v>
      </c>
      <c r="N149" s="3">
        <v>4.9000000000000004</v>
      </c>
      <c r="O149" s="3">
        <f t="shared" si="10"/>
        <v>1101.52</v>
      </c>
      <c r="P149" s="3">
        <f t="shared" si="11"/>
        <v>20164.560000000001</v>
      </c>
    </row>
    <row r="150" spans="1:16" x14ac:dyDescent="0.25">
      <c r="A150" s="2">
        <v>149</v>
      </c>
      <c r="B150" s="1" t="s">
        <v>23</v>
      </c>
      <c r="C150" s="1">
        <v>76</v>
      </c>
      <c r="D150" s="6" t="s">
        <v>21</v>
      </c>
      <c r="E150" s="3">
        <f t="shared" si="8"/>
        <v>12.768115942028983</v>
      </c>
      <c r="F150" s="3">
        <f t="shared" si="9"/>
        <v>262.42023021411103</v>
      </c>
      <c r="G150" s="3" t="str" cm="1">
        <f t="array" ref="G150">_xlfn.IFS(E150&gt;=2.5,"NLR&gt;=2.5",E150&lt;2.5,"NLR&lt;2.5")</f>
        <v>NLR&gt;=2.5</v>
      </c>
      <c r="H150" s="3" t="str" cm="1">
        <f t="array" ref="H150">_xlfn.IFS(F150&gt;=150,"PLR&gt;=150",F150&lt;150,"PLR&lt;150")</f>
        <v>PLR&gt;=150</v>
      </c>
      <c r="I150" s="1" t="s">
        <v>1</v>
      </c>
      <c r="J150" s="1">
        <v>2</v>
      </c>
      <c r="K150" s="3">
        <v>14580</v>
      </c>
      <c r="L150" s="3">
        <v>264000</v>
      </c>
      <c r="M150" s="3">
        <v>88.1</v>
      </c>
      <c r="N150" s="3">
        <v>6.9</v>
      </c>
      <c r="O150" s="3">
        <f t="shared" si="10"/>
        <v>1006.0200000000001</v>
      </c>
      <c r="P150" s="3">
        <f t="shared" si="11"/>
        <v>12844.979999999998</v>
      </c>
    </row>
    <row r="151" spans="1:16" x14ac:dyDescent="0.25">
      <c r="A151" s="2">
        <v>150</v>
      </c>
      <c r="B151" s="2" t="s">
        <v>24</v>
      </c>
      <c r="C151" s="1">
        <v>50</v>
      </c>
      <c r="D151" s="6" t="s">
        <v>19</v>
      </c>
      <c r="E151" s="3">
        <f t="shared" si="8"/>
        <v>6.4188034188034173</v>
      </c>
      <c r="F151" s="3">
        <f t="shared" si="9"/>
        <v>354.61706049941341</v>
      </c>
      <c r="G151" s="3" t="str" cm="1">
        <f t="array" ref="G151">_xlfn.IFS(E151&gt;=2.5,"NLR&gt;=2.5",E151&lt;2.5,"NLR&lt;2.5")</f>
        <v>NLR&gt;=2.5</v>
      </c>
      <c r="H151" s="3" t="str" cm="1">
        <f t="array" ref="H151">_xlfn.IFS(F151&gt;=150,"PLR&gt;=150",F151&lt;150,"PLR&lt;150")</f>
        <v>PLR&gt;=150</v>
      </c>
      <c r="I151" s="1" t="s">
        <v>1</v>
      </c>
      <c r="J151" s="1">
        <v>2</v>
      </c>
      <c r="K151" s="3">
        <v>12750</v>
      </c>
      <c r="L151" s="3">
        <v>529000</v>
      </c>
      <c r="M151" s="3">
        <v>75.099999999999994</v>
      </c>
      <c r="N151" s="3">
        <v>11.7</v>
      </c>
      <c r="O151" s="3">
        <f t="shared" si="10"/>
        <v>1491.75</v>
      </c>
      <c r="P151" s="3">
        <f t="shared" si="11"/>
        <v>9575.2499999999982</v>
      </c>
    </row>
    <row r="152" spans="1:16" x14ac:dyDescent="0.25">
      <c r="A152" s="2">
        <v>151</v>
      </c>
      <c r="B152" s="1" t="s">
        <v>23</v>
      </c>
      <c r="C152" s="1">
        <v>67</v>
      </c>
      <c r="D152" s="6" t="s">
        <v>20</v>
      </c>
      <c r="E152" s="3">
        <f t="shared" si="8"/>
        <v>23.25</v>
      </c>
      <c r="F152" s="3">
        <f t="shared" si="9"/>
        <v>431.77480916030538</v>
      </c>
      <c r="G152" s="3" t="str" cm="1">
        <f t="array" ref="G152">_xlfn.IFS(E152&gt;=2.5,"NLR&gt;=2.5",E152&lt;2.5,"NLR&lt;2.5")</f>
        <v>NLR&gt;=2.5</v>
      </c>
      <c r="H152" s="3" t="str" cm="1">
        <f t="array" ref="H152">_xlfn.IFS(F152&gt;=150,"PLR&gt;=150",F152&lt;150,"PLR&lt;150")</f>
        <v>PLR&gt;=150</v>
      </c>
      <c r="I152" s="1" t="s">
        <v>1</v>
      </c>
      <c r="J152" s="1">
        <v>2</v>
      </c>
      <c r="K152" s="3">
        <v>10480</v>
      </c>
      <c r="L152" s="3">
        <v>181000</v>
      </c>
      <c r="M152" s="3">
        <v>93</v>
      </c>
      <c r="N152" s="3">
        <v>4</v>
      </c>
      <c r="O152" s="3">
        <f t="shared" si="10"/>
        <v>419.2</v>
      </c>
      <c r="P152" s="3">
        <f t="shared" si="11"/>
        <v>9746.4</v>
      </c>
    </row>
    <row r="153" spans="1:16" x14ac:dyDescent="0.25">
      <c r="A153" s="2">
        <v>152</v>
      </c>
      <c r="B153" s="2" t="s">
        <v>24</v>
      </c>
      <c r="C153" s="1">
        <v>80</v>
      </c>
      <c r="D153" s="6" t="s">
        <v>22</v>
      </c>
      <c r="E153" s="3">
        <f t="shared" si="8"/>
        <v>5.673758865248228</v>
      </c>
      <c r="F153" s="3">
        <f t="shared" si="9"/>
        <v>224.48350292938639</v>
      </c>
      <c r="G153" s="3" t="str" cm="1">
        <f t="array" ref="G153">_xlfn.IFS(E153&gt;=2.5,"NLR&gt;=2.5",E153&lt;2.5,"NLR&lt;2.5")</f>
        <v>NLR&gt;=2.5</v>
      </c>
      <c r="H153" s="3" t="str" cm="1">
        <f t="array" ref="H153">_xlfn.IFS(F153&gt;=150,"PLR&gt;=150",F153&lt;150,"PLR&lt;150")</f>
        <v>PLR&gt;=150</v>
      </c>
      <c r="I153" s="1" t="s">
        <v>1</v>
      </c>
      <c r="J153" s="1">
        <v>2</v>
      </c>
      <c r="K153" s="3">
        <v>5750</v>
      </c>
      <c r="L153" s="3">
        <v>182000</v>
      </c>
      <c r="M153" s="3">
        <v>80</v>
      </c>
      <c r="N153" s="3">
        <v>14.1</v>
      </c>
      <c r="O153" s="3">
        <f t="shared" si="10"/>
        <v>810.74999999999989</v>
      </c>
      <c r="P153" s="3">
        <f t="shared" si="11"/>
        <v>4600</v>
      </c>
    </row>
    <row r="154" spans="1:16" x14ac:dyDescent="0.25">
      <c r="A154" s="2">
        <v>153</v>
      </c>
      <c r="B154" s="2" t="s">
        <v>24</v>
      </c>
      <c r="C154" s="1">
        <v>54</v>
      </c>
      <c r="D154" s="6" t="s">
        <v>19</v>
      </c>
      <c r="E154" s="3">
        <f t="shared" si="8"/>
        <v>3.6512820512820521</v>
      </c>
      <c r="F154" s="3">
        <f t="shared" si="9"/>
        <v>118.84893541698275</v>
      </c>
      <c r="G154" s="3" t="str" cm="1">
        <f t="array" ref="G154">_xlfn.IFS(E154&gt;=2.5,"NLR&gt;=2.5",E154&lt;2.5,"NLR&lt;2.5")</f>
        <v>NLR&gt;=2.5</v>
      </c>
      <c r="H154" s="3" t="str" cm="1">
        <f t="array" ref="H154">_xlfn.IFS(F154&gt;=150,"PLR&gt;=150",F154&lt;150,"PLR&lt;150")</f>
        <v>PLR&lt;150</v>
      </c>
      <c r="I154" s="1" t="s">
        <v>1</v>
      </c>
      <c r="J154" s="1">
        <v>2</v>
      </c>
      <c r="K154" s="3">
        <v>10140</v>
      </c>
      <c r="L154" s="3">
        <v>235000</v>
      </c>
      <c r="M154" s="3">
        <v>71.2</v>
      </c>
      <c r="N154" s="3">
        <v>19.5</v>
      </c>
      <c r="O154" s="3">
        <f t="shared" si="10"/>
        <v>1977.3</v>
      </c>
      <c r="P154" s="3">
        <f t="shared" si="11"/>
        <v>7219.6800000000012</v>
      </c>
    </row>
    <row r="155" spans="1:16" x14ac:dyDescent="0.25">
      <c r="A155" s="2">
        <v>154</v>
      </c>
      <c r="B155" s="2" t="s">
        <v>24</v>
      </c>
      <c r="C155" s="1">
        <v>63</v>
      </c>
      <c r="D155" s="6" t="s">
        <v>20</v>
      </c>
      <c r="E155" s="3">
        <f t="shared" si="8"/>
        <v>2.2846441947565541</v>
      </c>
      <c r="F155" s="3">
        <f t="shared" si="9"/>
        <v>104.20269987487134</v>
      </c>
      <c r="G155" s="3" t="str" cm="1">
        <f t="array" ref="G155">_xlfn.IFS(E155&gt;=2.5,"NLR&gt;=2.5",E155&lt;2.5,"NLR&lt;2.5")</f>
        <v>NLR&lt;2.5</v>
      </c>
      <c r="H155" s="3" t="str" cm="1">
        <f t="array" ref="H155">_xlfn.IFS(F155&gt;=150,"PLR&gt;=150",F155&lt;150,"PLR&lt;150")</f>
        <v>PLR&lt;150</v>
      </c>
      <c r="I155" s="1" t="s">
        <v>1</v>
      </c>
      <c r="J155" s="1">
        <v>2</v>
      </c>
      <c r="K155" s="3">
        <v>8770</v>
      </c>
      <c r="L155" s="3">
        <v>244000</v>
      </c>
      <c r="M155" s="3">
        <v>61</v>
      </c>
      <c r="N155" s="3">
        <v>26.7</v>
      </c>
      <c r="O155" s="3">
        <f t="shared" si="10"/>
        <v>2341.59</v>
      </c>
      <c r="P155" s="3">
        <f t="shared" si="11"/>
        <v>5349.7</v>
      </c>
    </row>
    <row r="156" spans="1:16" x14ac:dyDescent="0.25">
      <c r="A156" s="2">
        <v>155</v>
      </c>
      <c r="B156" s="1" t="s">
        <v>23</v>
      </c>
      <c r="C156" s="1">
        <v>56</v>
      </c>
      <c r="D156" s="6" t="s">
        <v>19</v>
      </c>
      <c r="E156" s="3">
        <f t="shared" si="8"/>
        <v>3.8393782383419688</v>
      </c>
      <c r="F156" s="3">
        <f t="shared" si="9"/>
        <v>166.03211862708613</v>
      </c>
      <c r="G156" s="3" t="str" cm="1">
        <f t="array" ref="G156">_xlfn.IFS(E156&gt;=2.5,"NLR&gt;=2.5",E156&lt;2.5,"NLR&lt;2.5")</f>
        <v>NLR&gt;=2.5</v>
      </c>
      <c r="H156" s="3" t="str" cm="1">
        <f t="array" ref="H156">_xlfn.IFS(F156&gt;=150,"PLR&gt;=150",F156&lt;150,"PLR&lt;150")</f>
        <v>PLR&gt;=150</v>
      </c>
      <c r="I156" s="1" t="s">
        <v>1</v>
      </c>
      <c r="J156" s="1">
        <v>2</v>
      </c>
      <c r="K156" s="3">
        <v>10860</v>
      </c>
      <c r="L156" s="3">
        <v>348000</v>
      </c>
      <c r="M156" s="3">
        <v>74.099999999999994</v>
      </c>
      <c r="N156" s="3">
        <v>19.3</v>
      </c>
      <c r="O156" s="3">
        <f t="shared" si="10"/>
        <v>2095.98</v>
      </c>
      <c r="P156" s="3">
        <f t="shared" si="11"/>
        <v>8047.26</v>
      </c>
    </row>
    <row r="157" spans="1:16" x14ac:dyDescent="0.25">
      <c r="A157" s="2">
        <v>156</v>
      </c>
      <c r="B157" s="2" t="s">
        <v>24</v>
      </c>
      <c r="C157" s="1">
        <v>70</v>
      </c>
      <c r="D157" s="6" t="s">
        <v>21</v>
      </c>
      <c r="E157" s="3">
        <f t="shared" si="8"/>
        <v>1.666666666666667</v>
      </c>
      <c r="F157" s="3">
        <f t="shared" si="9"/>
        <v>158.8613406795225</v>
      </c>
      <c r="G157" s="3" t="str" cm="1">
        <f t="array" ref="G157">_xlfn.IFS(E157&gt;=2.5,"NLR&gt;=2.5",E157&lt;2.5,"NLR&lt;2.5")</f>
        <v>NLR&lt;2.5</v>
      </c>
      <c r="H157" s="3" t="str" cm="1">
        <f t="array" ref="H157">_xlfn.IFS(F157&gt;=150,"PLR&gt;=150",F157&lt;150,"PLR&lt;150")</f>
        <v>PLR&gt;=150</v>
      </c>
      <c r="I157" s="1" t="s">
        <v>1</v>
      </c>
      <c r="J157" s="1">
        <v>2</v>
      </c>
      <c r="K157" s="3">
        <v>3300</v>
      </c>
      <c r="L157" s="3">
        <v>173000</v>
      </c>
      <c r="M157" s="3">
        <v>55</v>
      </c>
      <c r="N157" s="3">
        <v>33</v>
      </c>
      <c r="O157" s="3">
        <f t="shared" si="10"/>
        <v>1089</v>
      </c>
      <c r="P157" s="3">
        <f t="shared" si="11"/>
        <v>1815.0000000000002</v>
      </c>
    </row>
    <row r="158" spans="1:16" x14ac:dyDescent="0.25">
      <c r="A158" s="2">
        <v>157</v>
      </c>
      <c r="B158" s="1" t="s">
        <v>23</v>
      </c>
      <c r="C158" s="1">
        <v>82</v>
      </c>
      <c r="D158" s="6" t="s">
        <v>22</v>
      </c>
      <c r="E158" s="3">
        <f t="shared" si="8"/>
        <v>2.4444444444444442</v>
      </c>
      <c r="F158" s="3">
        <f t="shared" si="9"/>
        <v>139.47357230939318</v>
      </c>
      <c r="G158" s="3" t="str" cm="1">
        <f t="array" ref="G158">_xlfn.IFS(E158&gt;=2.5,"NLR&gt;=2.5",E158&lt;2.5,"NLR&lt;2.5")</f>
        <v>NLR&lt;2.5</v>
      </c>
      <c r="H158" s="3" t="str" cm="1">
        <f t="array" ref="H158">_xlfn.IFS(F158&gt;=150,"PLR&gt;=150",F158&lt;150,"PLR&lt;150")</f>
        <v>PLR&lt;150</v>
      </c>
      <c r="I158" s="1" t="s">
        <v>1</v>
      </c>
      <c r="J158" s="1">
        <v>2</v>
      </c>
      <c r="K158" s="3">
        <v>8710</v>
      </c>
      <c r="L158" s="3">
        <v>328000</v>
      </c>
      <c r="M158" s="3">
        <v>66</v>
      </c>
      <c r="N158" s="3">
        <v>27</v>
      </c>
      <c r="O158" s="3">
        <f t="shared" si="10"/>
        <v>2351.7000000000003</v>
      </c>
      <c r="P158" s="3">
        <f t="shared" si="11"/>
        <v>5748.6</v>
      </c>
    </row>
    <row r="159" spans="1:16" x14ac:dyDescent="0.25">
      <c r="A159" s="2">
        <v>158</v>
      </c>
      <c r="B159" s="2" t="s">
        <v>24</v>
      </c>
      <c r="C159" s="1">
        <v>61</v>
      </c>
      <c r="D159" s="6" t="s">
        <v>20</v>
      </c>
      <c r="E159" s="3">
        <f t="shared" si="8"/>
        <v>3.6354679802955663</v>
      </c>
      <c r="F159" s="3">
        <f t="shared" si="9"/>
        <v>272.52189561310951</v>
      </c>
      <c r="G159" s="3" t="str" cm="1">
        <f t="array" ref="G159">_xlfn.IFS(E159&gt;=2.5,"NLR&gt;=2.5",E159&lt;2.5,"NLR&lt;2.5")</f>
        <v>NLR&gt;=2.5</v>
      </c>
      <c r="H159" s="3" t="str" cm="1">
        <f t="array" ref="H159">_xlfn.IFS(F159&gt;=150,"PLR&gt;=150",F159&lt;150,"PLR&lt;150")</f>
        <v>PLR&gt;=150</v>
      </c>
      <c r="I159" s="1" t="s">
        <v>1</v>
      </c>
      <c r="J159" s="1">
        <v>2</v>
      </c>
      <c r="K159" s="3">
        <v>7610</v>
      </c>
      <c r="L159" s="3">
        <v>421000</v>
      </c>
      <c r="M159" s="3">
        <v>73.8</v>
      </c>
      <c r="N159" s="3">
        <v>20.3</v>
      </c>
      <c r="O159" s="3">
        <f t="shared" si="10"/>
        <v>1544.8300000000002</v>
      </c>
      <c r="P159" s="3">
        <f t="shared" si="11"/>
        <v>5616.18</v>
      </c>
    </row>
    <row r="160" spans="1:16" x14ac:dyDescent="0.25">
      <c r="A160" s="2">
        <v>159</v>
      </c>
      <c r="B160" s="1" t="s">
        <v>23</v>
      </c>
      <c r="C160" s="1">
        <v>71</v>
      </c>
      <c r="D160" s="6" t="s">
        <v>21</v>
      </c>
      <c r="E160" s="3">
        <f t="shared" si="8"/>
        <v>12.17391304347826</v>
      </c>
      <c r="F160" s="3">
        <f t="shared" si="9"/>
        <v>111.90607228031553</v>
      </c>
      <c r="G160" s="3" t="str" cm="1">
        <f t="array" ref="G160">_xlfn.IFS(E160&gt;=2.5,"NLR&gt;=2.5",E160&lt;2.5,"NLR&lt;2.5")</f>
        <v>NLR&gt;=2.5</v>
      </c>
      <c r="H160" s="3" t="str" cm="1">
        <f t="array" ref="H160">_xlfn.IFS(F160&gt;=150,"PLR&gt;=150",F160&lt;150,"PLR&lt;150")</f>
        <v>PLR&lt;150</v>
      </c>
      <c r="I160" s="1" t="s">
        <v>1</v>
      </c>
      <c r="J160" s="1">
        <v>2</v>
      </c>
      <c r="K160" s="3">
        <v>15800</v>
      </c>
      <c r="L160" s="3">
        <v>122000</v>
      </c>
      <c r="M160" s="3">
        <v>84</v>
      </c>
      <c r="N160" s="3">
        <v>6.9</v>
      </c>
      <c r="O160" s="3">
        <f t="shared" si="10"/>
        <v>1090.2</v>
      </c>
      <c r="P160" s="3">
        <f t="shared" si="11"/>
        <v>13272</v>
      </c>
    </row>
    <row r="161" spans="1:16" x14ac:dyDescent="0.25">
      <c r="A161" s="2">
        <v>160</v>
      </c>
      <c r="B161" s="2" t="s">
        <v>24</v>
      </c>
      <c r="C161" s="1">
        <v>55</v>
      </c>
      <c r="D161" s="6" t="s">
        <v>19</v>
      </c>
      <c r="E161" s="3">
        <f t="shared" si="8"/>
        <v>16.236363636363638</v>
      </c>
      <c r="F161" s="3">
        <f t="shared" si="9"/>
        <v>382.44514106583074</v>
      </c>
      <c r="G161" s="3" t="str" cm="1">
        <f t="array" ref="G161">_xlfn.IFS(E161&gt;=2.5,"NLR&gt;=2.5",E161&lt;2.5,"NLR&lt;2.5")</f>
        <v>NLR&gt;=2.5</v>
      </c>
      <c r="H161" s="3" t="str" cm="1">
        <f t="array" ref="H161">_xlfn.IFS(F161&gt;=150,"PLR&gt;=150",F161&lt;150,"PLR&lt;150")</f>
        <v>PLR&gt;=150</v>
      </c>
      <c r="I161" s="1" t="s">
        <v>1</v>
      </c>
      <c r="J161" s="1">
        <v>2</v>
      </c>
      <c r="K161" s="3">
        <v>14500</v>
      </c>
      <c r="L161" s="3">
        <v>305000</v>
      </c>
      <c r="M161" s="3">
        <v>89.3</v>
      </c>
      <c r="N161" s="3">
        <v>5.5</v>
      </c>
      <c r="O161" s="3">
        <f t="shared" si="10"/>
        <v>797.5</v>
      </c>
      <c r="P161" s="3">
        <f t="shared" si="11"/>
        <v>12948.5</v>
      </c>
    </row>
    <row r="162" spans="1:16" x14ac:dyDescent="0.25">
      <c r="A162" s="2">
        <v>161</v>
      </c>
      <c r="B162" s="2" t="s">
        <v>24</v>
      </c>
      <c r="C162" s="1">
        <v>80</v>
      </c>
      <c r="D162" s="6" t="s">
        <v>22</v>
      </c>
      <c r="E162" s="3">
        <f t="shared" si="8"/>
        <v>0.87029288702928886</v>
      </c>
      <c r="F162" s="3">
        <f t="shared" si="9"/>
        <v>71.816648972709672</v>
      </c>
      <c r="G162" s="3" t="str" cm="1">
        <f t="array" ref="G162">_xlfn.IFS(E162&gt;=2.5,"NLR&gt;=2.5",E162&lt;2.5,"NLR&lt;2.5")</f>
        <v>NLR&lt;2.5</v>
      </c>
      <c r="H162" s="3" t="str" cm="1">
        <f t="array" ref="H162">_xlfn.IFS(F162&gt;=150,"PLR&gt;=150",F162&lt;150,"PLR&lt;150")</f>
        <v>PLR&lt;150</v>
      </c>
      <c r="I162" s="1" t="s">
        <v>1</v>
      </c>
      <c r="J162" s="1">
        <v>2</v>
      </c>
      <c r="K162" s="3">
        <v>6700</v>
      </c>
      <c r="L162" s="3">
        <v>230000</v>
      </c>
      <c r="M162" s="3">
        <v>41.6</v>
      </c>
      <c r="N162" s="3">
        <v>47.8</v>
      </c>
      <c r="O162" s="3">
        <f t="shared" si="10"/>
        <v>3202.6</v>
      </c>
      <c r="P162" s="3">
        <f t="shared" si="11"/>
        <v>2787.2000000000003</v>
      </c>
    </row>
    <row r="163" spans="1:16" x14ac:dyDescent="0.25">
      <c r="A163" s="2">
        <v>162</v>
      </c>
      <c r="B163" s="2" t="s">
        <v>24</v>
      </c>
      <c r="C163" s="1">
        <v>86</v>
      </c>
      <c r="D163" s="6" t="s">
        <v>22</v>
      </c>
      <c r="E163" s="3">
        <f t="shared" si="8"/>
        <v>3.0308370044052859</v>
      </c>
      <c r="F163" s="3">
        <f t="shared" si="9"/>
        <v>145.73253499662735</v>
      </c>
      <c r="G163" s="3" t="str" cm="1">
        <f t="array" ref="G163">_xlfn.IFS(E163&gt;=2.5,"NLR&gt;=2.5",E163&lt;2.5,"NLR&lt;2.5")</f>
        <v>NLR&gt;=2.5</v>
      </c>
      <c r="H163" s="3" t="str" cm="1">
        <f t="array" ref="H163">_xlfn.IFS(F163&gt;=150,"PLR&gt;=150",F163&lt;150,"PLR&lt;150")</f>
        <v>PLR&lt;150</v>
      </c>
      <c r="I163" s="1" t="s">
        <v>1</v>
      </c>
      <c r="J163" s="1">
        <v>2</v>
      </c>
      <c r="K163" s="3">
        <v>5290</v>
      </c>
      <c r="L163" s="3">
        <v>175000</v>
      </c>
      <c r="M163" s="3">
        <v>68.8</v>
      </c>
      <c r="N163" s="3">
        <v>22.7</v>
      </c>
      <c r="O163" s="3">
        <f t="shared" si="10"/>
        <v>1200.83</v>
      </c>
      <c r="P163" s="3">
        <f t="shared" si="11"/>
        <v>3639.5199999999995</v>
      </c>
    </row>
    <row r="164" spans="1:16" x14ac:dyDescent="0.25">
      <c r="A164" s="2">
        <v>163</v>
      </c>
      <c r="B164" s="2" t="s">
        <v>24</v>
      </c>
      <c r="C164" s="1">
        <v>74</v>
      </c>
      <c r="D164" s="6" t="s">
        <v>21</v>
      </c>
      <c r="E164" s="3">
        <f t="shared" si="8"/>
        <v>0.90126050420168047</v>
      </c>
      <c r="F164" s="3">
        <f t="shared" si="9"/>
        <v>41.568760205503999</v>
      </c>
      <c r="G164" s="3" t="str" cm="1">
        <f t="array" ref="G164">_xlfn.IFS(E164&gt;=2.5,"NLR&gt;=2.5",E164&lt;2.5,"NLR&lt;2.5")</f>
        <v>NLR&lt;2.5</v>
      </c>
      <c r="H164" s="3" t="str" cm="1">
        <f t="array" ref="H164">_xlfn.IFS(F164&gt;=150,"PLR&gt;=150",F164&lt;150,"PLR&lt;150")</f>
        <v>PLR&lt;150</v>
      </c>
      <c r="I164" s="1" t="s">
        <v>1</v>
      </c>
      <c r="J164" s="1">
        <v>2</v>
      </c>
      <c r="K164" s="3">
        <v>8440</v>
      </c>
      <c r="L164" s="3">
        <v>167000</v>
      </c>
      <c r="M164" s="3">
        <v>42.9</v>
      </c>
      <c r="N164" s="3">
        <v>47.6</v>
      </c>
      <c r="O164" s="3">
        <f t="shared" si="10"/>
        <v>4017.4400000000005</v>
      </c>
      <c r="P164" s="3">
        <f t="shared" si="11"/>
        <v>3620.7599999999998</v>
      </c>
    </row>
    <row r="165" spans="1:16" x14ac:dyDescent="0.25">
      <c r="A165" s="2">
        <v>164</v>
      </c>
      <c r="B165" s="2" t="s">
        <v>24</v>
      </c>
      <c r="C165" s="1">
        <v>68</v>
      </c>
      <c r="D165" s="6" t="s">
        <v>20</v>
      </c>
      <c r="E165" s="3">
        <f t="shared" si="8"/>
        <v>26.94285714285714</v>
      </c>
      <c r="F165" s="3">
        <f t="shared" si="9"/>
        <v>619.73413218498411</v>
      </c>
      <c r="G165" s="3" t="str" cm="1">
        <f t="array" ref="G165">_xlfn.IFS(E165&gt;=2.5,"NLR&gt;=2.5",E165&lt;2.5,"NLR&lt;2.5")</f>
        <v>NLR&gt;=2.5</v>
      </c>
      <c r="H165" s="3" t="str" cm="1">
        <f t="array" ref="H165">_xlfn.IFS(F165&gt;=150,"PLR&gt;=150",F165&lt;150,"PLR&lt;150")</f>
        <v>PLR&gt;=150</v>
      </c>
      <c r="I165" s="1" t="s">
        <v>1</v>
      </c>
      <c r="J165" s="1">
        <v>2</v>
      </c>
      <c r="K165" s="3">
        <v>15260</v>
      </c>
      <c r="L165" s="3">
        <v>331000</v>
      </c>
      <c r="M165" s="3">
        <v>94.3</v>
      </c>
      <c r="N165" s="3">
        <v>3.5</v>
      </c>
      <c r="O165" s="3">
        <f t="shared" si="10"/>
        <v>534.1</v>
      </c>
      <c r="P165" s="3">
        <f t="shared" si="11"/>
        <v>14390.179999999998</v>
      </c>
    </row>
    <row r="166" spans="1:16" x14ac:dyDescent="0.25">
      <c r="A166" s="2">
        <v>165</v>
      </c>
      <c r="B166" s="2" t="s">
        <v>24</v>
      </c>
      <c r="C166" s="1">
        <v>53</v>
      </c>
      <c r="D166" s="6" t="s">
        <v>19</v>
      </c>
      <c r="E166" s="3">
        <f t="shared" si="8"/>
        <v>3.4545454545454546</v>
      </c>
      <c r="F166" s="3">
        <f t="shared" si="9"/>
        <v>134.86377271487717</v>
      </c>
      <c r="G166" s="3" t="str" cm="1">
        <f t="array" ref="G166">_xlfn.IFS(E166&gt;=2.5,"NLR&gt;=2.5",E166&lt;2.5,"NLR&lt;2.5")</f>
        <v>NLR&gt;=2.5</v>
      </c>
      <c r="H166" s="3" t="str" cm="1">
        <f t="array" ref="H166">_xlfn.IFS(F166&gt;=150,"PLR&gt;=150",F166&lt;150,"PLR&lt;150")</f>
        <v>PLR&lt;150</v>
      </c>
      <c r="I166" s="1" t="s">
        <v>1</v>
      </c>
      <c r="J166" s="1">
        <v>2</v>
      </c>
      <c r="K166" s="3">
        <v>9650</v>
      </c>
      <c r="L166" s="3">
        <v>272000</v>
      </c>
      <c r="M166" s="3">
        <v>72.2</v>
      </c>
      <c r="N166" s="3">
        <v>20.9</v>
      </c>
      <c r="O166" s="3">
        <f t="shared" si="10"/>
        <v>2016.85</v>
      </c>
      <c r="P166" s="3">
        <f t="shared" si="11"/>
        <v>6967.3</v>
      </c>
    </row>
    <row r="167" spans="1:16" x14ac:dyDescent="0.25">
      <c r="A167" s="2">
        <v>166</v>
      </c>
      <c r="B167" s="1" t="s">
        <v>23</v>
      </c>
      <c r="C167" s="1">
        <v>64</v>
      </c>
      <c r="D167" s="6" t="s">
        <v>20</v>
      </c>
      <c r="E167" s="3">
        <f t="shared" si="8"/>
        <v>3.2685185185185177</v>
      </c>
      <c r="F167" s="3">
        <f t="shared" si="9"/>
        <v>255.12024548633408</v>
      </c>
      <c r="G167" s="3" t="str" cm="1">
        <f t="array" ref="G167">_xlfn.IFS(E167&gt;=2.5,"NLR&gt;=2.5",E167&lt;2.5,"NLR&lt;2.5")</f>
        <v>NLR&gt;=2.5</v>
      </c>
      <c r="H167" s="3" t="str" cm="1">
        <f t="array" ref="H167">_xlfn.IFS(F167&gt;=150,"PLR&gt;=150",F167&lt;150,"PLR&lt;150")</f>
        <v>PLR&gt;=150</v>
      </c>
      <c r="I167" s="1" t="s">
        <v>1</v>
      </c>
      <c r="J167" s="1">
        <v>2</v>
      </c>
      <c r="K167" s="3">
        <v>5190</v>
      </c>
      <c r="L167" s="3">
        <v>286000</v>
      </c>
      <c r="M167" s="3">
        <v>70.599999999999994</v>
      </c>
      <c r="N167" s="3">
        <v>21.6</v>
      </c>
      <c r="O167" s="3">
        <f t="shared" si="10"/>
        <v>1121.0400000000002</v>
      </c>
      <c r="P167" s="3">
        <f t="shared" si="11"/>
        <v>3664.14</v>
      </c>
    </row>
    <row r="168" spans="1:16" x14ac:dyDescent="0.25">
      <c r="A168" s="2">
        <v>167</v>
      </c>
      <c r="B168" s="1" t="s">
        <v>23</v>
      </c>
      <c r="C168" s="1">
        <v>66</v>
      </c>
      <c r="D168" s="6" t="s">
        <v>20</v>
      </c>
      <c r="E168" s="3">
        <f t="shared" si="8"/>
        <v>3.4292929292929295</v>
      </c>
      <c r="F168" s="3">
        <f t="shared" si="9"/>
        <v>198.84838725418436</v>
      </c>
      <c r="G168" s="3" t="str" cm="1">
        <f t="array" ref="G168">_xlfn.IFS(E168&gt;=2.5,"NLR&gt;=2.5",E168&lt;2.5,"NLR&lt;2.5")</f>
        <v>NLR&gt;=2.5</v>
      </c>
      <c r="H168" s="3" t="str" cm="1">
        <f t="array" ref="H168">_xlfn.IFS(F168&gt;=150,"PLR&gt;=150",F168&lt;150,"PLR&lt;150")</f>
        <v>PLR&gt;=150</v>
      </c>
      <c r="I168" s="1" t="s">
        <v>1</v>
      </c>
      <c r="J168" s="1">
        <v>2</v>
      </c>
      <c r="K168" s="3">
        <v>4140</v>
      </c>
      <c r="L168" s="3">
        <v>163000</v>
      </c>
      <c r="M168" s="3">
        <v>67.900000000000006</v>
      </c>
      <c r="N168" s="3">
        <v>19.8</v>
      </c>
      <c r="O168" s="3">
        <f t="shared" si="10"/>
        <v>819.72</v>
      </c>
      <c r="P168" s="3">
        <f t="shared" si="11"/>
        <v>2811.0600000000004</v>
      </c>
    </row>
    <row r="169" spans="1:16" x14ac:dyDescent="0.25">
      <c r="A169" s="2">
        <v>168</v>
      </c>
      <c r="B169" s="2" t="s">
        <v>24</v>
      </c>
      <c r="C169" s="1">
        <v>76</v>
      </c>
      <c r="D169" s="6" t="s">
        <v>21</v>
      </c>
      <c r="E169" s="3">
        <f t="shared" si="8"/>
        <v>31.142857142857142</v>
      </c>
      <c r="F169" s="3">
        <f t="shared" si="9"/>
        <v>655.59026791631163</v>
      </c>
      <c r="G169" s="3" t="str" cm="1">
        <f t="array" ref="G169">_xlfn.IFS(E169&gt;=2.5,"NLR&gt;=2.5",E169&lt;2.5,"NLR&lt;2.5")</f>
        <v>NLR&gt;=2.5</v>
      </c>
      <c r="H169" s="3" t="str" cm="1">
        <f t="array" ref="H169">_xlfn.IFS(F169&gt;=150,"PLR&gt;=150",F169&lt;150,"PLR&lt;150")</f>
        <v>PLR&gt;=150</v>
      </c>
      <c r="I169" s="1" t="s">
        <v>1</v>
      </c>
      <c r="J169" s="1">
        <v>2</v>
      </c>
      <c r="K169" s="3">
        <v>15090</v>
      </c>
      <c r="L169" s="3">
        <v>277000</v>
      </c>
      <c r="M169" s="3">
        <v>87.2</v>
      </c>
      <c r="N169" s="3">
        <v>2.8</v>
      </c>
      <c r="O169" s="3">
        <f t="shared" si="10"/>
        <v>422.52</v>
      </c>
      <c r="P169" s="3">
        <f t="shared" si="11"/>
        <v>13158.48</v>
      </c>
    </row>
    <row r="170" spans="1:16" x14ac:dyDescent="0.25">
      <c r="A170" s="2">
        <v>169</v>
      </c>
      <c r="B170" s="2" t="s">
        <v>24</v>
      </c>
      <c r="C170" s="1">
        <v>80</v>
      </c>
      <c r="D170" s="6" t="s">
        <v>22</v>
      </c>
      <c r="E170" s="3">
        <f t="shared" si="8"/>
        <v>18.200000000000003</v>
      </c>
      <c r="F170" s="3">
        <f t="shared" si="9"/>
        <v>595.71322985957136</v>
      </c>
      <c r="G170" s="3" t="str" cm="1">
        <f t="array" ref="G170">_xlfn.IFS(E170&gt;=2.5,"NLR&gt;=2.5",E170&lt;2.5,"NLR&lt;2.5")</f>
        <v>NLR&gt;=2.5</v>
      </c>
      <c r="H170" s="3" t="str" cm="1">
        <f t="array" ref="H170">_xlfn.IFS(F170&gt;=150,"PLR&gt;=150",F170&lt;150,"PLR&lt;150")</f>
        <v>PLR&gt;=150</v>
      </c>
      <c r="I170" s="1" t="s">
        <v>1</v>
      </c>
      <c r="J170" s="1">
        <v>2</v>
      </c>
      <c r="K170" s="3">
        <v>13530</v>
      </c>
      <c r="L170" s="3">
        <v>403000</v>
      </c>
      <c r="M170" s="3">
        <v>91</v>
      </c>
      <c r="N170" s="3">
        <v>5</v>
      </c>
      <c r="O170" s="3">
        <f t="shared" si="10"/>
        <v>676.5</v>
      </c>
      <c r="P170" s="3">
        <f t="shared" si="11"/>
        <v>12312.300000000001</v>
      </c>
    </row>
    <row r="171" spans="1:16" x14ac:dyDescent="0.25">
      <c r="A171" s="2">
        <v>170</v>
      </c>
      <c r="B171" s="1" t="s">
        <v>23</v>
      </c>
      <c r="C171" s="1">
        <v>66</v>
      </c>
      <c r="D171" s="6" t="s">
        <v>20</v>
      </c>
      <c r="E171" s="3">
        <f t="shared" si="8"/>
        <v>12.661971830985918</v>
      </c>
      <c r="F171" s="3">
        <f t="shared" si="9"/>
        <v>301.92377610217989</v>
      </c>
      <c r="G171" s="3" t="str" cm="1">
        <f t="array" ref="G171">_xlfn.IFS(E171&gt;=2.5,"NLR&gt;=2.5",E171&lt;2.5,"NLR&lt;2.5")</f>
        <v>NLR&gt;=2.5</v>
      </c>
      <c r="H171" s="3" t="str" cm="1">
        <f t="array" ref="H171">_xlfn.IFS(F171&gt;=150,"PLR&gt;=150",F171&lt;150,"PLR&lt;150")</f>
        <v>PLR&gt;=150</v>
      </c>
      <c r="I171" s="1" t="s">
        <v>1</v>
      </c>
      <c r="J171" s="1">
        <v>2</v>
      </c>
      <c r="K171" s="3">
        <v>17820</v>
      </c>
      <c r="L171" s="3">
        <v>382000</v>
      </c>
      <c r="M171" s="3">
        <v>89.9</v>
      </c>
      <c r="N171" s="3">
        <v>7.1</v>
      </c>
      <c r="O171" s="3">
        <f t="shared" si="10"/>
        <v>1265.2199999999998</v>
      </c>
      <c r="P171" s="3">
        <f t="shared" si="11"/>
        <v>16020.18</v>
      </c>
    </row>
    <row r="172" spans="1:16" x14ac:dyDescent="0.25">
      <c r="A172" s="2">
        <v>171</v>
      </c>
      <c r="B172" s="2" t="s">
        <v>24</v>
      </c>
      <c r="C172" s="1">
        <v>82</v>
      </c>
      <c r="D172" s="6" t="s">
        <v>22</v>
      </c>
      <c r="E172" s="3">
        <f t="shared" si="8"/>
        <v>6.2460317460317469</v>
      </c>
      <c r="F172" s="3">
        <f t="shared" si="9"/>
        <v>216.06694913467823</v>
      </c>
      <c r="G172" s="3" t="str" cm="1">
        <f t="array" ref="G172">_xlfn.IFS(E172&gt;=2.5,"NLR&gt;=2.5",E172&lt;2.5,"NLR&lt;2.5")</f>
        <v>NLR&gt;=2.5</v>
      </c>
      <c r="H172" s="3" t="str" cm="1">
        <f t="array" ref="H172">_xlfn.IFS(F172&gt;=150,"PLR&gt;=150",F172&lt;150,"PLR&lt;150")</f>
        <v>PLR&gt;=150</v>
      </c>
      <c r="I172" s="1" t="s">
        <v>1</v>
      </c>
      <c r="J172" s="1">
        <v>2</v>
      </c>
      <c r="K172" s="3">
        <v>7530</v>
      </c>
      <c r="L172" s="3">
        <v>205000</v>
      </c>
      <c r="M172" s="3">
        <v>78.7</v>
      </c>
      <c r="N172" s="3">
        <v>12.6</v>
      </c>
      <c r="O172" s="3">
        <f t="shared" si="10"/>
        <v>948.78</v>
      </c>
      <c r="P172" s="3">
        <f t="shared" si="11"/>
        <v>5926.1100000000006</v>
      </c>
    </row>
    <row r="173" spans="1:16" x14ac:dyDescent="0.25">
      <c r="A173" s="2">
        <v>172</v>
      </c>
      <c r="B173" s="2" t="s">
        <v>24</v>
      </c>
      <c r="C173" s="1">
        <v>62</v>
      </c>
      <c r="D173" s="6" t="s">
        <v>20</v>
      </c>
      <c r="E173" s="3">
        <f t="shared" si="8"/>
        <v>1.4972527472527475</v>
      </c>
      <c r="F173" s="3">
        <f t="shared" si="9"/>
        <v>117.37089201877936</v>
      </c>
      <c r="G173" s="3" t="str" cm="1">
        <f t="array" ref="G173">_xlfn.IFS(E173&gt;=2.5,"NLR&gt;=2.5",E173&lt;2.5,"NLR&lt;2.5")</f>
        <v>NLR&lt;2.5</v>
      </c>
      <c r="H173" s="3" t="str" cm="1">
        <f t="array" ref="H173">_xlfn.IFS(F173&gt;=150,"PLR&gt;=150",F173&lt;150,"PLR&lt;150")</f>
        <v>PLR&lt;150</v>
      </c>
      <c r="I173" s="1" t="s">
        <v>1</v>
      </c>
      <c r="J173" s="1">
        <v>2</v>
      </c>
      <c r="K173" s="3">
        <v>4260</v>
      </c>
      <c r="L173" s="3">
        <v>182000</v>
      </c>
      <c r="M173" s="3">
        <v>54.5</v>
      </c>
      <c r="N173" s="3">
        <v>36.4</v>
      </c>
      <c r="O173" s="3">
        <f t="shared" si="10"/>
        <v>1550.6399999999999</v>
      </c>
      <c r="P173" s="3">
        <f t="shared" si="11"/>
        <v>2321.7000000000003</v>
      </c>
    </row>
    <row r="175" spans="1:16" x14ac:dyDescent="0.25">
      <c r="C175" s="7"/>
    </row>
    <row r="176" spans="1:16" x14ac:dyDescent="0.25">
      <c r="C176" s="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F4D9-77B3-4376-9386-BE3DF670323A}">
  <dimension ref="A2:P7"/>
  <sheetViews>
    <sheetView workbookViewId="0">
      <selection activeCell="N19" sqref="N19"/>
    </sheetView>
  </sheetViews>
  <sheetFormatPr defaultRowHeight="13.8" x14ac:dyDescent="0.25"/>
  <cols>
    <col min="1" max="1" width="11.59765625" bestFit="1" customWidth="1"/>
    <col min="2" max="2" width="16.09765625" bestFit="1" customWidth="1"/>
    <col min="3" max="3" width="5.796875" bestFit="1" customWidth="1"/>
    <col min="4" max="4" width="11.3984375" bestFit="1" customWidth="1"/>
    <col min="8" max="8" width="13.09765625" bestFit="1" customWidth="1"/>
    <col min="9" max="9" width="16.09765625" bestFit="1" customWidth="1"/>
    <col min="10" max="10" width="5.796875" bestFit="1" customWidth="1"/>
    <col min="11" max="11" width="11.3984375" bestFit="1" customWidth="1"/>
    <col min="13" max="13" width="13.09765625" bestFit="1" customWidth="1"/>
    <col min="14" max="14" width="16.09765625" bestFit="1" customWidth="1"/>
    <col min="15" max="15" width="8.09765625" bestFit="1" customWidth="1"/>
    <col min="16" max="16" width="11.3984375" bestFit="1" customWidth="1"/>
  </cols>
  <sheetData>
    <row r="2" spans="1:16" x14ac:dyDescent="0.25">
      <c r="A2" t="s">
        <v>32</v>
      </c>
      <c r="M2" t="s">
        <v>31</v>
      </c>
    </row>
    <row r="3" spans="1:16" x14ac:dyDescent="0.25">
      <c r="B3" s="17" t="s">
        <v>30</v>
      </c>
      <c r="H3" s="17" t="s">
        <v>29</v>
      </c>
      <c r="I3" s="17" t="s">
        <v>30</v>
      </c>
      <c r="M3" s="17" t="s">
        <v>29</v>
      </c>
      <c r="N3" s="17" t="s">
        <v>30</v>
      </c>
    </row>
    <row r="4" spans="1:16" x14ac:dyDescent="0.25">
      <c r="B4" t="s">
        <v>0</v>
      </c>
      <c r="C4" t="s">
        <v>1</v>
      </c>
      <c r="D4" t="s">
        <v>28</v>
      </c>
      <c r="H4" s="17" t="s">
        <v>27</v>
      </c>
      <c r="I4" t="s">
        <v>0</v>
      </c>
      <c r="J4" t="s">
        <v>1</v>
      </c>
      <c r="K4" t="s">
        <v>28</v>
      </c>
      <c r="M4" s="17" t="s">
        <v>27</v>
      </c>
      <c r="N4" t="s">
        <v>0</v>
      </c>
      <c r="O4" t="s">
        <v>1</v>
      </c>
      <c r="P4" t="s">
        <v>28</v>
      </c>
    </row>
    <row r="5" spans="1:16" x14ac:dyDescent="0.25">
      <c r="A5" t="s">
        <v>29</v>
      </c>
      <c r="B5">
        <v>115</v>
      </c>
      <c r="C5">
        <v>57</v>
      </c>
      <c r="D5">
        <v>172</v>
      </c>
      <c r="H5" s="18" t="s">
        <v>23</v>
      </c>
      <c r="I5">
        <v>44</v>
      </c>
      <c r="J5">
        <v>19</v>
      </c>
      <c r="K5">
        <v>63</v>
      </c>
      <c r="M5" s="18" t="s">
        <v>23</v>
      </c>
      <c r="N5" s="19">
        <v>0.69841269841269837</v>
      </c>
      <c r="O5" s="19">
        <v>0.30158730158730157</v>
      </c>
      <c r="P5" s="19">
        <v>1</v>
      </c>
    </row>
    <row r="6" spans="1:16" x14ac:dyDescent="0.25">
      <c r="H6" s="18" t="s">
        <v>24</v>
      </c>
      <c r="I6">
        <v>71</v>
      </c>
      <c r="J6">
        <v>38</v>
      </c>
      <c r="K6">
        <v>109</v>
      </c>
      <c r="M6" s="18" t="s">
        <v>24</v>
      </c>
      <c r="N6" s="19">
        <v>0.65137614678899081</v>
      </c>
      <c r="O6" s="19">
        <v>0.34862385321100919</v>
      </c>
      <c r="P6" s="19">
        <v>1</v>
      </c>
    </row>
    <row r="7" spans="1:16" x14ac:dyDescent="0.25">
      <c r="H7" s="18" t="s">
        <v>28</v>
      </c>
      <c r="I7">
        <v>115</v>
      </c>
      <c r="J7">
        <v>57</v>
      </c>
      <c r="K7">
        <v>172</v>
      </c>
      <c r="M7" s="18" t="s">
        <v>28</v>
      </c>
      <c r="N7" s="19">
        <v>0.66860465116279066</v>
      </c>
      <c r="O7" s="19">
        <v>0.33139534883720928</v>
      </c>
      <c r="P7" s="19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Kiartisak Senchan</dc:creator>
  <cp:lastModifiedBy>Kiartisak Senchan</cp:lastModifiedBy>
  <dcterms:created xsi:type="dcterms:W3CDTF">2024-08-09T03:36:26Z</dcterms:created>
  <dcterms:modified xsi:type="dcterms:W3CDTF">2025-04-24T04:21:41Z</dcterms:modified>
</cp:coreProperties>
</file>